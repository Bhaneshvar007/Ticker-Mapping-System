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utimf-my.sharepoint.com/personal/lokesh_kulthia_uti_co_in/Documents/Desktop/"/>
    </mc:Choice>
  </mc:AlternateContent>
  <xr:revisionPtr revIDLastSave="0" documentId="8_{DFC4EA47-7286-4DDA-863F-120B78951415}" xr6:coauthVersionLast="47" xr6:coauthVersionMax="47" xr10:uidLastSave="{00000000-0000-0000-0000-000000000000}"/>
  <bookViews>
    <workbookView xWindow="-120" yWindow="-120" windowWidth="38640" windowHeight="21120" firstSheet="4" activeTab="4" xr2:uid="{0294E5A8-9D25-48FC-9432-ECD2103D8906}"/>
  </bookViews>
  <sheets>
    <sheet name="Sequrity" sheetId="1" r:id="rId1"/>
    <sheet name="Sheet1" sheetId="9" r:id="rId2"/>
    <sheet name="Broker" sheetId="2" r:id="rId3"/>
    <sheet name="Ex" sheetId="4" r:id="rId4"/>
    <sheet name="DB" sheetId="5" r:id="rId5"/>
    <sheet name="Logic" sheetId="6" r:id="rId6"/>
    <sheet name="ROLLOVER 1" sheetId="8" r:id="rId7"/>
    <sheet name="UNWINDING 1" sheetId="7" r:id="rId8"/>
    <sheet name="Logic-new" sheetId="10" r:id="rId9"/>
    <sheet name="OpeningHoldings" sheetId="11" r:id="rId10"/>
  </sheets>
  <definedNames>
    <definedName name="_xlnm._FilterDatabase" localSheetId="0" hidden="1">Sequrity!$A$2:$Q$2</definedName>
    <definedName name="_xlnm._FilterDatabase" localSheetId="2" hidden="1">Broker!$A$1:$R$1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J10" i="5"/>
  <c r="K11" i="5"/>
  <c r="J12" i="5"/>
  <c r="K12" i="5" s="1"/>
  <c r="K10" i="5"/>
  <c r="L24" i="2"/>
  <c r="R2" i="2"/>
  <c r="L3" i="2"/>
  <c r="L2" i="2"/>
  <c r="P2" i="2"/>
  <c r="P25" i="2"/>
  <c r="O25" i="2"/>
  <c r="P24" i="2"/>
  <c r="K5" i="5"/>
  <c r="F13" i="4"/>
  <c r="K4" i="5"/>
  <c r="F30" i="6"/>
  <c r="K7" i="5"/>
  <c r="K6" i="5"/>
  <c r="O24" i="2"/>
  <c r="F10" i="4"/>
  <c r="F5" i="4"/>
  <c r="J79" i="2"/>
  <c r="F9" i="4"/>
  <c r="D10" i="4"/>
  <c r="F8" i="4"/>
  <c r="F6" i="4"/>
  <c r="L25" i="2"/>
  <c r="P3" i="2"/>
  <c r="Q3" i="2" s="1"/>
  <c r="R24" i="2" l="1"/>
  <c r="Q25" i="2"/>
</calcChain>
</file>

<file path=xl/sharedStrings.xml><?xml version="1.0" encoding="utf-8"?>
<sst xmlns="http://schemas.openxmlformats.org/spreadsheetml/2006/main" count="2700" uniqueCount="2083">
  <si>
    <t>Current Month</t>
  </si>
  <si>
    <t>Next Month</t>
  </si>
  <si>
    <t>Far Month</t>
  </si>
  <si>
    <t>Parent Ticker</t>
  </si>
  <si>
    <t>NSE CODE</t>
  </si>
  <si>
    <t>NSE Ticker</t>
  </si>
  <si>
    <t>BSE Ticker</t>
  </si>
  <si>
    <t>Common Ticker</t>
  </si>
  <si>
    <t>Month</t>
  </si>
  <si>
    <t>BBG</t>
  </si>
  <si>
    <t>Lot size</t>
  </si>
  <si>
    <t>360ONE</t>
  </si>
  <si>
    <t>360ONE IS Equity</t>
  </si>
  <si>
    <t>360ONE IB Equity</t>
  </si>
  <si>
    <t>360ONE IN Equity</t>
  </si>
  <si>
    <t>360ON=U5 IS</t>
  </si>
  <si>
    <t>360ON=V5 IS</t>
  </si>
  <si>
    <t>360ON=X5 IS</t>
  </si>
  <si>
    <t>ABB</t>
  </si>
  <si>
    <t>ABB IS Equity</t>
  </si>
  <si>
    <t>ABB IB Equity</t>
  </si>
  <si>
    <t>ABB IN Equity</t>
  </si>
  <si>
    <t>ABB=U5 IS</t>
  </si>
  <si>
    <t>ABB=V5 IS</t>
  </si>
  <si>
    <t>ABB=X5 IS</t>
  </si>
  <si>
    <t>ABCAP</t>
  </si>
  <si>
    <t>ABCAPITAL</t>
  </si>
  <si>
    <t>ABCAP IS Equity</t>
  </si>
  <si>
    <t>ABCAP IB Equity</t>
  </si>
  <si>
    <t>ABCAP IN Equity</t>
  </si>
  <si>
    <t>ABCAP=U5 IS</t>
  </si>
  <si>
    <t>ABCAP=V5 IS</t>
  </si>
  <si>
    <t>ABCAP=X5 IS</t>
  </si>
  <si>
    <t>ACEM</t>
  </si>
  <si>
    <t>AMBUJACEM</t>
  </si>
  <si>
    <t>ACEM IS Equity</t>
  </si>
  <si>
    <t>ACEM IB Equity</t>
  </si>
  <si>
    <t>ACEM IN Equity</t>
  </si>
  <si>
    <t>ACEM=U5 IS</t>
  </si>
  <si>
    <t>ACEM=V5 IS</t>
  </si>
  <si>
    <t>ACEM=X5 IS</t>
  </si>
  <si>
    <t xml:space="preserve">  </t>
  </si>
  <si>
    <t>ADANIENS</t>
  </si>
  <si>
    <t>ADANIENSOL</t>
  </si>
  <si>
    <t>ADANIENS IS Equity</t>
  </si>
  <si>
    <t>ADANIENS IB Equity</t>
  </si>
  <si>
    <t>ADANIENS IN Equity</t>
  </si>
  <si>
    <t>ADANE=U5 IS</t>
  </si>
  <si>
    <t>ADANE=V5 IS</t>
  </si>
  <si>
    <t>ADANE=X5 IS</t>
  </si>
  <si>
    <t>ADANIGR</t>
  </si>
  <si>
    <t>ADANIGREEN</t>
  </si>
  <si>
    <t>ADANIGR IS Equity</t>
  </si>
  <si>
    <t>ADANIGR IB Equity</t>
  </si>
  <si>
    <t>ADANIGR IN Equity</t>
  </si>
  <si>
    <t>ADANG=U5 IS</t>
  </si>
  <si>
    <t>ADANG=V5 IS</t>
  </si>
  <si>
    <t>ADANG=X5 IS</t>
  </si>
  <si>
    <t>ADE</t>
  </si>
  <si>
    <t>ADANIENT</t>
  </si>
  <si>
    <t>ADE IS Equity</t>
  </si>
  <si>
    <t>ADE IB Equity</t>
  </si>
  <si>
    <t>ADE IN Equity</t>
  </si>
  <si>
    <t>ADE=U5 IS</t>
  </si>
  <si>
    <t>ADE=V5 IS</t>
  </si>
  <si>
    <t>ADE=X5 IS</t>
  </si>
  <si>
    <t>ADSEZ</t>
  </si>
  <si>
    <t>ADANIPORTS</t>
  </si>
  <si>
    <t>ADSEZ IS Equity</t>
  </si>
  <si>
    <t>ADSEZ IB Equity</t>
  </si>
  <si>
    <t>ADSEZ IN Equity</t>
  </si>
  <si>
    <t>ADSEZ=U5 IS</t>
  </si>
  <si>
    <t>ADSEZ=V5 IS</t>
  </si>
  <si>
    <t>ADSEZ=X5 IS</t>
  </si>
  <si>
    <t>AL</t>
  </si>
  <si>
    <t>ASHOKLEY</t>
  </si>
  <si>
    <t>AL IS Equity</t>
  </si>
  <si>
    <t>AL IB Equity</t>
  </si>
  <si>
    <t>AL IN Equity</t>
  </si>
  <si>
    <t>AL=U5 IS</t>
  </si>
  <si>
    <t>AL=V5 IS</t>
  </si>
  <si>
    <t>AL=X5 IS</t>
  </si>
  <si>
    <t>ALKEM</t>
  </si>
  <si>
    <t>ALKEM IS Equity</t>
  </si>
  <si>
    <t>ALKEM IB Equity</t>
  </si>
  <si>
    <t>ALKEM IN Equity</t>
  </si>
  <si>
    <t>ALKEM=U5 IS</t>
  </si>
  <si>
    <t>ALKEM=V5 IS</t>
  </si>
  <si>
    <t>ALKEM=X5 IS</t>
  </si>
  <si>
    <t>AMBER</t>
  </si>
  <si>
    <t>AMBER IS Equity</t>
  </si>
  <si>
    <t>AMBER IB Equity</t>
  </si>
  <si>
    <t>AMBER IN Equity</t>
  </si>
  <si>
    <t>AMBER=U5 IS</t>
  </si>
  <si>
    <t>AMBER=V5 IS</t>
  </si>
  <si>
    <t>AMBER=X5 IS</t>
  </si>
  <si>
    <t>ANGELONE</t>
  </si>
  <si>
    <t>ANGELONE IS Equity</t>
  </si>
  <si>
    <t>ANGELONE IB Equity</t>
  </si>
  <si>
    <t>ANGELONE IN Equity</t>
  </si>
  <si>
    <t>ANGEL=U5 IS</t>
  </si>
  <si>
    <t>ANGEL=V5 IS</t>
  </si>
  <si>
    <t>ANGEL=X5 IS</t>
  </si>
  <si>
    <t>APAT</t>
  </si>
  <si>
    <t>APLAPOLLO</t>
  </si>
  <si>
    <t>APAT IS Equity</t>
  </si>
  <si>
    <t>APAT IB Equity</t>
  </si>
  <si>
    <t>APAT IN Equity</t>
  </si>
  <si>
    <t>APAT=U5 IS</t>
  </si>
  <si>
    <t>APAT=V5 IS</t>
  </si>
  <si>
    <t>APAT=X5 IS</t>
  </si>
  <si>
    <t>APHS</t>
  </si>
  <si>
    <t>APOLLOHOSP</t>
  </si>
  <si>
    <t>APHS IS Equity</t>
  </si>
  <si>
    <t>APHS IB Equity</t>
  </si>
  <si>
    <t>APHS IN Equity</t>
  </si>
  <si>
    <t>APHS=U5 IS</t>
  </si>
  <si>
    <t>APHS=V5 IS</t>
  </si>
  <si>
    <t>APHS=X5 IS</t>
  </si>
  <si>
    <t>APNT</t>
  </si>
  <si>
    <t>ASIANPAINT</t>
  </si>
  <si>
    <t>APNT IS Equity</t>
  </si>
  <si>
    <t>APNT IB Equity</t>
  </si>
  <si>
    <t>APNT IN Equity</t>
  </si>
  <si>
    <t>APNT=U5 IS</t>
  </si>
  <si>
    <t>APNT=V5 IS</t>
  </si>
  <si>
    <t>APNT=X5 IS</t>
  </si>
  <si>
    <t>ARBP</t>
  </si>
  <si>
    <t>AUROPHARMA</t>
  </si>
  <si>
    <t>ARBP IS Equity</t>
  </si>
  <si>
    <t>ARBP IB Equity</t>
  </si>
  <si>
    <t>ARBP IN Equity</t>
  </si>
  <si>
    <t>ARBP=U5 IS</t>
  </si>
  <si>
    <t>ARBP=V5 IS</t>
  </si>
  <si>
    <t>ARBP=X5 IS</t>
  </si>
  <si>
    <t>ASTRA</t>
  </si>
  <si>
    <t>ASTRAL</t>
  </si>
  <si>
    <t>ASTRA IS Equity</t>
  </si>
  <si>
    <t>ASTRA IB Equity</t>
  </si>
  <si>
    <t>ASTRA IN Equity</t>
  </si>
  <si>
    <t>ASTRA=U5 IS</t>
  </si>
  <si>
    <t>ASTRA=V5 IS</t>
  </si>
  <si>
    <t>ASTRA=X5 IS</t>
  </si>
  <si>
    <t>AUBANK</t>
  </si>
  <si>
    <t>AUBANK IS Equity</t>
  </si>
  <si>
    <t>AUBANK IB Equity</t>
  </si>
  <si>
    <t>AUBANK IN Equity</t>
  </si>
  <si>
    <t>AUBAN=U5 IS</t>
  </si>
  <si>
    <t>AUBAN=V5 IS</t>
  </si>
  <si>
    <t>AUBAN=X5 IS</t>
  </si>
  <si>
    <t>AXSB</t>
  </si>
  <si>
    <t>AXISBANK</t>
  </si>
  <si>
    <t>AXSB IS Equity</t>
  </si>
  <si>
    <t>AXSB IB Equity</t>
  </si>
  <si>
    <t>AXSB IN Equity</t>
  </si>
  <si>
    <t>AXSB=U5 IS</t>
  </si>
  <si>
    <t>AXSB=V5 IS</t>
  </si>
  <si>
    <t>AXSB=X5 IS</t>
  </si>
  <si>
    <t>BAF</t>
  </si>
  <si>
    <t>BAJFINANCE</t>
  </si>
  <si>
    <t>BAF IS Equity</t>
  </si>
  <si>
    <t>BAF IB Equity</t>
  </si>
  <si>
    <t>BAF IN Equity</t>
  </si>
  <si>
    <t>BAF=U5 IS</t>
  </si>
  <si>
    <t>BAF=V5 IS</t>
  </si>
  <si>
    <t>BAF=X5 IS</t>
  </si>
  <si>
    <t>BANDHAN</t>
  </si>
  <si>
    <t>BANDHANBNK</t>
  </si>
  <si>
    <t>BANDHAN IS Equity</t>
  </si>
  <si>
    <t>BANDHAN IB Equity</t>
  </si>
  <si>
    <t>BANDHAN IN Equity</t>
  </si>
  <si>
    <t>BANDH=U5 IS</t>
  </si>
  <si>
    <t>BANDH=V5 IS</t>
  </si>
  <si>
    <t>BANDH=X5 IS</t>
  </si>
  <si>
    <t>BDL</t>
  </si>
  <si>
    <t>BDL IS Equity</t>
  </si>
  <si>
    <t>BDL IB Equity</t>
  </si>
  <si>
    <t>BDL IN Equity</t>
  </si>
  <si>
    <t>BDL=U5 IS</t>
  </si>
  <si>
    <t>BDL=V5 IS</t>
  </si>
  <si>
    <t>BDL=X5 IS</t>
  </si>
  <si>
    <t>BHARTI</t>
  </si>
  <si>
    <t>BHARTIARTL</t>
  </si>
  <si>
    <t>BHARTI IS Equity</t>
  </si>
  <si>
    <t>BHARTI IB Equity</t>
  </si>
  <si>
    <t>BHARTI IN Equity</t>
  </si>
  <si>
    <t>BHART=U5 IS</t>
  </si>
  <si>
    <t>BHART=V5 IS</t>
  </si>
  <si>
    <t>BHART=X5 IS</t>
  </si>
  <si>
    <t>BHE</t>
  </si>
  <si>
    <t>BEL</t>
  </si>
  <si>
    <t>BHE IS Equity</t>
  </si>
  <si>
    <t>BHE IB Equity</t>
  </si>
  <si>
    <t>BHE IN Equity</t>
  </si>
  <si>
    <t>BHE=U5 IS</t>
  </si>
  <si>
    <t>BHE=V5 IS</t>
  </si>
  <si>
    <t>BHE=X5 IS</t>
  </si>
  <si>
    <t>BHEL</t>
  </si>
  <si>
    <t>BHEL IS Equity</t>
  </si>
  <si>
    <t>BHEL IB Equity</t>
  </si>
  <si>
    <t>BHEL IN Equity</t>
  </si>
  <si>
    <t>BHEL=U5 IS</t>
  </si>
  <si>
    <t>BHEL=V5 IS</t>
  </si>
  <si>
    <t>BHEL=X5 IS</t>
  </si>
  <si>
    <t>BHFC</t>
  </si>
  <si>
    <t>BHARATFORG</t>
  </si>
  <si>
    <t>BHFC IS Equity</t>
  </si>
  <si>
    <t>BHFC IB Equity</t>
  </si>
  <si>
    <t>BHFC IN Equity</t>
  </si>
  <si>
    <t>BHFC=U5 IS</t>
  </si>
  <si>
    <t>BHFC=V5 IS</t>
  </si>
  <si>
    <t>BHFC=X5 IS</t>
  </si>
  <si>
    <t>BIOS</t>
  </si>
  <si>
    <t>BIOCON</t>
  </si>
  <si>
    <t>BIOS IS Equity</t>
  </si>
  <si>
    <t>BIOS IB Equity</t>
  </si>
  <si>
    <t>BIOS IN Equity</t>
  </si>
  <si>
    <t>BIOS=U5 IS</t>
  </si>
  <si>
    <t>BIOS=V5 IS</t>
  </si>
  <si>
    <t>BIOS=X5 IS</t>
  </si>
  <si>
    <t>BJAUT</t>
  </si>
  <si>
    <t>BAJAJ-AUTO</t>
  </si>
  <si>
    <t>BJAUT IS Equity</t>
  </si>
  <si>
    <t>BJAUT IB Equity</t>
  </si>
  <si>
    <t>BJAUT IN Equity</t>
  </si>
  <si>
    <t>BJAUT=U5 IS</t>
  </si>
  <si>
    <t>BJAUT=V5 IS</t>
  </si>
  <si>
    <t>BJAUT=X5 IS</t>
  </si>
  <si>
    <t>BJFIN</t>
  </si>
  <si>
    <t>BAJAJFINSV</t>
  </si>
  <si>
    <t>BJFIN IS Equity</t>
  </si>
  <si>
    <t>BJFIN IB Equity</t>
  </si>
  <si>
    <t>BJFIN IN Equity</t>
  </si>
  <si>
    <t>BJFIN=U5 IS</t>
  </si>
  <si>
    <t>BJFIN=V5 IS</t>
  </si>
  <si>
    <t>BJFIN=X5 IS</t>
  </si>
  <si>
    <t>BLSTR</t>
  </si>
  <si>
    <t>BLUESTARCO</t>
  </si>
  <si>
    <t>BLSTR IS Equity</t>
  </si>
  <si>
    <t>BLSTR IB Equity</t>
  </si>
  <si>
    <t>BLSTR IN Equity</t>
  </si>
  <si>
    <t>BLSTR=U5 IS</t>
  </si>
  <si>
    <t>BLSTR=V5 IS</t>
  </si>
  <si>
    <t>BLSTR=X5 IS</t>
  </si>
  <si>
    <t>BOB</t>
  </si>
  <si>
    <t>BANKBARODA</t>
  </si>
  <si>
    <t>BOB IS Equity</t>
  </si>
  <si>
    <t>BOB IB Equity</t>
  </si>
  <si>
    <t>BOB IN Equity</t>
  </si>
  <si>
    <t>BOB=U5 IS</t>
  </si>
  <si>
    <t>BOB=V5 IS</t>
  </si>
  <si>
    <t>BOB=X5 IS</t>
  </si>
  <si>
    <t>BOI</t>
  </si>
  <si>
    <t>BANKINDIA</t>
  </si>
  <si>
    <t>BOI IS Equity</t>
  </si>
  <si>
    <t>BOI IB Equity</t>
  </si>
  <si>
    <t>BOI IN Equity</t>
  </si>
  <si>
    <t>BOI=U5 IS</t>
  </si>
  <si>
    <t>BOI=V5 IS</t>
  </si>
  <si>
    <t>BOI=X5 IS</t>
  </si>
  <si>
    <t>BOS</t>
  </si>
  <si>
    <t>BOSCHLTD</t>
  </si>
  <si>
    <t>BOS IS Equity</t>
  </si>
  <si>
    <t>BOS IB Equity</t>
  </si>
  <si>
    <t>BOS IN Equity</t>
  </si>
  <si>
    <t>BOS=U5 IS</t>
  </si>
  <si>
    <t>BOS=V5 IS</t>
  </si>
  <si>
    <t>BOS=X5 IS</t>
  </si>
  <si>
    <t>BPCL</t>
  </si>
  <si>
    <t>BPCL IS Equity</t>
  </si>
  <si>
    <t>BPCL IB Equity</t>
  </si>
  <si>
    <t>BPCL IN Equity</t>
  </si>
  <si>
    <t>BPCL=U5 IS</t>
  </si>
  <si>
    <t>BPCL=V5 IS</t>
  </si>
  <si>
    <t>BPCL=X5 IS</t>
  </si>
  <si>
    <t>BRIT</t>
  </si>
  <si>
    <t>BRITANNIA</t>
  </si>
  <si>
    <t>BRIT IS Equity</t>
  </si>
  <si>
    <t>BRIT IB Equity</t>
  </si>
  <si>
    <t>BRIT IN Equity</t>
  </si>
  <si>
    <t>BRIT=U5 IS</t>
  </si>
  <si>
    <t>BRIT=V5 IS</t>
  </si>
  <si>
    <t>BRIT=X5 IS</t>
  </si>
  <si>
    <t>BSE</t>
  </si>
  <si>
    <t>BSE IS Equity</t>
  </si>
  <si>
    <t>BSE IB Equity</t>
  </si>
  <si>
    <t>BSE IN Equity</t>
  </si>
  <si>
    <t>BSE=U5 IS</t>
  </si>
  <si>
    <t>BSE=V5 IS</t>
  </si>
  <si>
    <t>BSE=X5 IS</t>
  </si>
  <si>
    <t>CAMS</t>
  </si>
  <si>
    <t>CAMS IS Equity</t>
  </si>
  <si>
    <t>CAMS IB Equity</t>
  </si>
  <si>
    <t>CAMS IN Equity</t>
  </si>
  <si>
    <t>CAMS=U5 IS</t>
  </si>
  <si>
    <t>CAMS=V5 IS</t>
  </si>
  <si>
    <t>CAMS=X5 IS</t>
  </si>
  <si>
    <t>CBK</t>
  </si>
  <si>
    <t>CANBK</t>
  </si>
  <si>
    <t>CBK IS Equity</t>
  </si>
  <si>
    <t>CBK IB Equity</t>
  </si>
  <si>
    <t>CBK IN Equity</t>
  </si>
  <si>
    <t>CBK=U5 IS</t>
  </si>
  <si>
    <t>CBK=V5 IS</t>
  </si>
  <si>
    <t>CBK=X5 IS</t>
  </si>
  <si>
    <t>CCRI</t>
  </si>
  <si>
    <t>CONCOR</t>
  </si>
  <si>
    <t>CCRI IS Equity</t>
  </si>
  <si>
    <t>CCRI IB Equity</t>
  </si>
  <si>
    <t>CCRI IN Equity</t>
  </si>
  <si>
    <t>CCRI=U5 IS</t>
  </si>
  <si>
    <t>CCRI=V5 IS</t>
  </si>
  <si>
    <t>CCRI=X5 IS</t>
  </si>
  <si>
    <t>CDSL</t>
  </si>
  <si>
    <t>CDSL IS Equity</t>
  </si>
  <si>
    <t>CDSL IB Equity</t>
  </si>
  <si>
    <t>CDSL IN Equity</t>
  </si>
  <si>
    <t>CDSL=U5 IS</t>
  </si>
  <si>
    <t>CDSL=V5 IS</t>
  </si>
  <si>
    <t>CDSL=X5 IS</t>
  </si>
  <si>
    <t>CGPOWER</t>
  </si>
  <si>
    <t>CGPOWER IS Equity</t>
  </si>
  <si>
    <t>CGPOWER IB Equity</t>
  </si>
  <si>
    <t>CGPOWER IN Equity</t>
  </si>
  <si>
    <t>CGPOW=U5 IS</t>
  </si>
  <si>
    <t>CGPOW=V5 IS</t>
  </si>
  <si>
    <t>CGPOW=X5 IS</t>
  </si>
  <si>
    <t>CIFC</t>
  </si>
  <si>
    <t>CHOLAFIN</t>
  </si>
  <si>
    <t>CIFC IS Equity</t>
  </si>
  <si>
    <t>CIFC IB Equity</t>
  </si>
  <si>
    <t>CIFC IN Equity</t>
  </si>
  <si>
    <t>CIFC=U5 IS</t>
  </si>
  <si>
    <t>CIFC=V5 IS</t>
  </si>
  <si>
    <t>CIFC=X5 IS</t>
  </si>
  <si>
    <t>CIPLA</t>
  </si>
  <si>
    <t>CIPLA IS Equity</t>
  </si>
  <si>
    <t>CIPLA IB Equity</t>
  </si>
  <si>
    <t>CIPLA IN Equity</t>
  </si>
  <si>
    <t>CIPLA=U5 IS</t>
  </si>
  <si>
    <t>CIPLA=V5 IS</t>
  </si>
  <si>
    <t>CIPLA=X5 IS</t>
  </si>
  <si>
    <t>CLGT</t>
  </si>
  <si>
    <t>COLPAL</t>
  </si>
  <si>
    <t>CLGT IS Equity</t>
  </si>
  <si>
    <t>CLGT IB Equity</t>
  </si>
  <si>
    <t>CLGT IN Equity</t>
  </si>
  <si>
    <t>CLGT=U5 IS</t>
  </si>
  <si>
    <t>CLGT=V5 IS</t>
  </si>
  <si>
    <t>CLGT=X5 IS</t>
  </si>
  <si>
    <t>COAL</t>
  </si>
  <si>
    <t>COALINDIA</t>
  </si>
  <si>
    <t>COAL IS Equity</t>
  </si>
  <si>
    <t>COAL IB Equity</t>
  </si>
  <si>
    <t>COAL IN Equity</t>
  </si>
  <si>
    <t>COAL=U5 IS</t>
  </si>
  <si>
    <t>COAL=V5 IS</t>
  </si>
  <si>
    <t>COAL=X5 IS</t>
  </si>
  <si>
    <t>COFORGE</t>
  </si>
  <si>
    <t>COFORGE IS Equity</t>
  </si>
  <si>
    <t>COFORGE IB Equity</t>
  </si>
  <si>
    <t>COFORGE IN Equity</t>
  </si>
  <si>
    <t>COFOR=U5 IS</t>
  </si>
  <si>
    <t>COFOR=V5 IS</t>
  </si>
  <si>
    <t>COFOR=X5 IS</t>
  </si>
  <si>
    <t>CROMPTON</t>
  </si>
  <si>
    <t>CROMPTON IS Equity</t>
  </si>
  <si>
    <t>CROMPTON IB Equity</t>
  </si>
  <si>
    <t>CROMPTON IN Equity</t>
  </si>
  <si>
    <t>CROMP=U5 IS</t>
  </si>
  <si>
    <t>CROMP=V5 IS</t>
  </si>
  <si>
    <t>CROMP=X5 IS</t>
  </si>
  <si>
    <t>CYL</t>
  </si>
  <si>
    <t>CYIENT</t>
  </si>
  <si>
    <t>CYL IS Equity</t>
  </si>
  <si>
    <t>CYL IB Equity</t>
  </si>
  <si>
    <t>CYL IN Equity</t>
  </si>
  <si>
    <t>CYL=U5 IS</t>
  </si>
  <si>
    <t>CYL=V5 IS</t>
  </si>
  <si>
    <t>CYL=X5 IS</t>
  </si>
  <si>
    <t>DABUR</t>
  </si>
  <si>
    <t>DABUR IS Equity</t>
  </si>
  <si>
    <t>DABUR IB Equity</t>
  </si>
  <si>
    <t>DABUR IN Equity</t>
  </si>
  <si>
    <t>DABUR=U5 IS</t>
  </si>
  <si>
    <t>DABUR=V5 IS</t>
  </si>
  <si>
    <t>DABUR=X5 IS</t>
  </si>
  <si>
    <t>DALBHARA</t>
  </si>
  <si>
    <t>DALBHARAT</t>
  </si>
  <si>
    <t>DALBHARA IS Equity</t>
  </si>
  <si>
    <t>DALBHARA IB Equity</t>
  </si>
  <si>
    <t>DALBHARA IN Equity</t>
  </si>
  <si>
    <t>DALBH=U5 IS</t>
  </si>
  <si>
    <t>DALBH=V5 IS</t>
  </si>
  <si>
    <t>DALBH=X5 IS</t>
  </si>
  <si>
    <t>DELHIVER</t>
  </si>
  <si>
    <t>DELHIVERY</t>
  </si>
  <si>
    <t>DELHIVER IS Equity</t>
  </si>
  <si>
    <t>DELHIVER IB Equity</t>
  </si>
  <si>
    <t>DELHIVER IN Equity</t>
  </si>
  <si>
    <t>DELHV=U5 IS</t>
  </si>
  <si>
    <t>DELHV=V5 IS</t>
  </si>
  <si>
    <t>DELHV=X5 IS</t>
  </si>
  <si>
    <t>DIVI</t>
  </si>
  <si>
    <t>DIVISLAB</t>
  </si>
  <si>
    <t>DIVI IS Equity</t>
  </si>
  <si>
    <t>DIVI IB Equity</t>
  </si>
  <si>
    <t>DIVI IN Equity</t>
  </si>
  <si>
    <t>DIVI=U5 IS</t>
  </si>
  <si>
    <t>DIVI=V5 IS</t>
  </si>
  <si>
    <t>DIVI=X5 IS</t>
  </si>
  <si>
    <t>DIXON</t>
  </si>
  <si>
    <t>DIXON IS Equity</t>
  </si>
  <si>
    <t>DIXON IB Equity</t>
  </si>
  <si>
    <t>DIXON IN Equity</t>
  </si>
  <si>
    <t>DIXON=U5 IS</t>
  </si>
  <si>
    <t>DIXON=V5 IS</t>
  </si>
  <si>
    <t>DIXON=X5 IS</t>
  </si>
  <si>
    <t>DLFU</t>
  </si>
  <si>
    <t>DLF</t>
  </si>
  <si>
    <t>DLFU IS Equity</t>
  </si>
  <si>
    <t>DLFU IB Equity</t>
  </si>
  <si>
    <t>DLFU IN Equity</t>
  </si>
  <si>
    <t>DLFU=U5 IS</t>
  </si>
  <si>
    <t>DLFU=V5 IS</t>
  </si>
  <si>
    <t>DLFU=X5 IS</t>
  </si>
  <si>
    <t>DMART</t>
  </si>
  <si>
    <t>DMART IS Equity</t>
  </si>
  <si>
    <t>DMART IB Equity</t>
  </si>
  <si>
    <t>DMART IN Equity</t>
  </si>
  <si>
    <t>DMART=U5 IS</t>
  </si>
  <si>
    <t>DMART=V5 IS</t>
  </si>
  <si>
    <t>DMART=X5 IS</t>
  </si>
  <si>
    <t>DRRD</t>
  </si>
  <si>
    <t>DRREDDY</t>
  </si>
  <si>
    <t>DRRD IS Equity</t>
  </si>
  <si>
    <t>DRRD IB Equity</t>
  </si>
  <si>
    <t>DRRD IN Equity</t>
  </si>
  <si>
    <t>DRRD=U5 IS</t>
  </si>
  <si>
    <t>DRRD=V5 IS</t>
  </si>
  <si>
    <t>DRRD=X5 IS</t>
  </si>
  <si>
    <t>EIM</t>
  </si>
  <si>
    <t>EICHERMOT</t>
  </si>
  <si>
    <t>EIM IS Equity</t>
  </si>
  <si>
    <t>EIM IB Equity</t>
  </si>
  <si>
    <t>EIM IN Equity</t>
  </si>
  <si>
    <t>EIM=U5 IS</t>
  </si>
  <si>
    <t>EIM=V5 IS</t>
  </si>
  <si>
    <t>EIM=X5 IS</t>
  </si>
  <si>
    <t>ETERNAL</t>
  </si>
  <si>
    <t>ETERNAL IS Equity</t>
  </si>
  <si>
    <t>ETERNAL IB Equity</t>
  </si>
  <si>
    <t>ETERNAL IN Equity</t>
  </si>
  <si>
    <t>ETERN=U5 IS</t>
  </si>
  <si>
    <t>ETERN=V5 IS</t>
  </si>
  <si>
    <t>ETERN=X5 IS</t>
  </si>
  <si>
    <t>EXID</t>
  </si>
  <si>
    <t>EXIDEIND</t>
  </si>
  <si>
    <t>EXID IS Equity</t>
  </si>
  <si>
    <t>EXID IB Equity</t>
  </si>
  <si>
    <t>EXID IN Equity</t>
  </si>
  <si>
    <t>EXID=U5 IS</t>
  </si>
  <si>
    <t>EXID=V5 IS</t>
  </si>
  <si>
    <t>EXID=X5 IS</t>
  </si>
  <si>
    <t>FB</t>
  </si>
  <si>
    <t>FEDERALBNK</t>
  </si>
  <si>
    <t>FB IS Equity</t>
  </si>
  <si>
    <t>FB IB Equity</t>
  </si>
  <si>
    <t>FB IN Equity</t>
  </si>
  <si>
    <t>FB=U5 IS</t>
  </si>
  <si>
    <t>FB=V5 IS</t>
  </si>
  <si>
    <t>FB=X5 IS</t>
  </si>
  <si>
    <t>FORH</t>
  </si>
  <si>
    <t>FORTIS</t>
  </si>
  <si>
    <t>FORH IS Equity</t>
  </si>
  <si>
    <t>FORH IB Equity</t>
  </si>
  <si>
    <t>FORH IN Equity</t>
  </si>
  <si>
    <t>FORH=U5 IS</t>
  </si>
  <si>
    <t>FORH=V5 IS</t>
  </si>
  <si>
    <t>FORH=X5 IS</t>
  </si>
  <si>
    <t>GAIL</t>
  </si>
  <si>
    <t>GAIL IS Equity</t>
  </si>
  <si>
    <t>GAIL IB Equity</t>
  </si>
  <si>
    <t>GAIL IN Equity</t>
  </si>
  <si>
    <t>GAIL=U5 IS</t>
  </si>
  <si>
    <t>GAIL=V5 IS</t>
  </si>
  <si>
    <t>GAIL=X5 IS</t>
  </si>
  <si>
    <t>GCPL</t>
  </si>
  <si>
    <t>GODREJCP</t>
  </si>
  <si>
    <t>GCPL IS Equity</t>
  </si>
  <si>
    <t>GCPL IB Equity</t>
  </si>
  <si>
    <t>GCPL IN Equity</t>
  </si>
  <si>
    <t>GCPL=U5 IS</t>
  </si>
  <si>
    <t>GCPL=V5 IS</t>
  </si>
  <si>
    <t>GCPL=X5 IS</t>
  </si>
  <si>
    <t>GMRAIRPO</t>
  </si>
  <si>
    <t>GMRAIRPORT</t>
  </si>
  <si>
    <t>GMRAIRPO IS Equity</t>
  </si>
  <si>
    <t>GMRAIRPO IB Equity</t>
  </si>
  <si>
    <t>GMRAIRPO IN Equity</t>
  </si>
  <si>
    <t>GMRAI=U5 IS</t>
  </si>
  <si>
    <t>GMRAI=V5 IS</t>
  </si>
  <si>
    <t>GMRAI=X5 IS</t>
  </si>
  <si>
    <t>GNP</t>
  </si>
  <si>
    <t>GLENMARK</t>
  </si>
  <si>
    <t>GNP IS Equity</t>
  </si>
  <si>
    <t>GNP IB Equity</t>
  </si>
  <si>
    <t>GNP IN Equity</t>
  </si>
  <si>
    <t>GNP=U5 IS</t>
  </si>
  <si>
    <t>GNP=V5 IS</t>
  </si>
  <si>
    <t>GNP=X5 IS</t>
  </si>
  <si>
    <t>GPL</t>
  </si>
  <si>
    <t>GODREJPROP</t>
  </si>
  <si>
    <t>GPL IS Equity</t>
  </si>
  <si>
    <t>GPL IB Equity</t>
  </si>
  <si>
    <t>GPL IN Equity</t>
  </si>
  <si>
    <t>GPL=U5 IS</t>
  </si>
  <si>
    <t>GPL=V5 IS</t>
  </si>
  <si>
    <t>GPL=X5 IS</t>
  </si>
  <si>
    <t>GRASIM</t>
  </si>
  <si>
    <t>GRASIM IS Equity</t>
  </si>
  <si>
    <t>GRASIM IB Equity</t>
  </si>
  <si>
    <t>GRASIM IN Equity</t>
  </si>
  <si>
    <t>GRASI=U5 IS</t>
  </si>
  <si>
    <t>GRASI=V5 IS</t>
  </si>
  <si>
    <t>GRASI=X5 IS</t>
  </si>
  <si>
    <t>HAVL</t>
  </si>
  <si>
    <t>HDFCAMC</t>
  </si>
  <si>
    <t>HAVL IS Equity</t>
  </si>
  <si>
    <t>HAVL IB Equity</t>
  </si>
  <si>
    <t>HAVL IN Equity</t>
  </si>
  <si>
    <t>HAMC=U5 IS</t>
  </si>
  <si>
    <t>HAMC=V5 IS</t>
  </si>
  <si>
    <t>HAMC=X5 IS</t>
  </si>
  <si>
    <t>HCLT</t>
  </si>
  <si>
    <t>HAVELLS</t>
  </si>
  <si>
    <t>HCLT IS Equity</t>
  </si>
  <si>
    <t>HCLT IB Equity</t>
  </si>
  <si>
    <t>HCLT IN Equity</t>
  </si>
  <si>
    <t>HAVL=U5 IS</t>
  </si>
  <si>
    <t>HAVL=V5 IS</t>
  </si>
  <si>
    <t>HAVL=X5 IS</t>
  </si>
  <si>
    <t>HCLTECH</t>
  </si>
  <si>
    <t>HDFCAMC IS Equity</t>
  </si>
  <si>
    <t>HDFCAMC IB Equity</t>
  </si>
  <si>
    <t>HDFCAMC IN Equity</t>
  </si>
  <si>
    <t>HCLT=U5 IS</t>
  </si>
  <si>
    <t>HCLT=V5 IS</t>
  </si>
  <si>
    <t>HCLT=X5 IS</t>
  </si>
  <si>
    <t>HDFCB</t>
  </si>
  <si>
    <t>HDFCBANK</t>
  </si>
  <si>
    <t>HDFCB IS Equity</t>
  </si>
  <si>
    <t>HDFCB IB Equity</t>
  </si>
  <si>
    <t>HDFCB IN Equity</t>
  </si>
  <si>
    <t>HDFCB=U5 IS</t>
  </si>
  <si>
    <t>HDFCB=V5 IS</t>
  </si>
  <si>
    <t>HDFCB=X5 IS</t>
  </si>
  <si>
    <t>HDFCLIFE</t>
  </si>
  <si>
    <t>HDFCLIFE IS Equity</t>
  </si>
  <si>
    <t>HDFCLIFE IB Equity</t>
  </si>
  <si>
    <t>HDFCLIFE IN Equity</t>
  </si>
  <si>
    <t>HDFCL=U5 IS</t>
  </si>
  <si>
    <t>HDFCL=V5 IS</t>
  </si>
  <si>
    <t>HDFCL=X5 IS</t>
  </si>
  <si>
    <t>HMCL</t>
  </si>
  <si>
    <t>HEROMOTOCO</t>
  </si>
  <si>
    <t>HMCL IS Equity</t>
  </si>
  <si>
    <t>HMCL IB Equity</t>
  </si>
  <si>
    <t>HMCL IN Equity</t>
  </si>
  <si>
    <t>HMCL=U5 IS</t>
  </si>
  <si>
    <t>HMCL=V5 IS</t>
  </si>
  <si>
    <t>HMCL=X5 IS</t>
  </si>
  <si>
    <t>HMFC</t>
  </si>
  <si>
    <t>HFCL</t>
  </si>
  <si>
    <t>HMFC IS Equity</t>
  </si>
  <si>
    <t>HMFC IB Equity</t>
  </si>
  <si>
    <t>HMFC IN Equity</t>
  </si>
  <si>
    <t>HMFC=U5 IS</t>
  </si>
  <si>
    <t>HMFC=V5 IS</t>
  </si>
  <si>
    <t>HMFC=X5 IS</t>
  </si>
  <si>
    <t>HNAL</t>
  </si>
  <si>
    <t>HAL</t>
  </si>
  <si>
    <t>HNAL IS Equity</t>
  </si>
  <si>
    <t>HNAL IB Equity</t>
  </si>
  <si>
    <t>HNAL IN Equity</t>
  </si>
  <si>
    <t>HNAL=U5 IS</t>
  </si>
  <si>
    <t>HNAL=V5 IS</t>
  </si>
  <si>
    <t>HNAL=X5 IS</t>
  </si>
  <si>
    <t>HNDL</t>
  </si>
  <si>
    <t>HINDALCO</t>
  </si>
  <si>
    <t>HNDL IS Equity</t>
  </si>
  <si>
    <t>HNDL IB Equity</t>
  </si>
  <si>
    <t>HNDL IN Equity</t>
  </si>
  <si>
    <t>HNDL=U5 IS</t>
  </si>
  <si>
    <t>HNDL=V5 IS</t>
  </si>
  <si>
    <t>HNDL=X5 IS</t>
  </si>
  <si>
    <t>HPCL</t>
  </si>
  <si>
    <t>HINDPETRO</t>
  </si>
  <si>
    <t>HPCL IS Equity</t>
  </si>
  <si>
    <t>HPCL IB Equity</t>
  </si>
  <si>
    <t>HPCL IN Equity</t>
  </si>
  <si>
    <t>HPCL=U5 IS</t>
  </si>
  <si>
    <t>HPCL=V5 IS</t>
  </si>
  <si>
    <t>HPCL=X5 IS</t>
  </si>
  <si>
    <t>HUDCO</t>
  </si>
  <si>
    <t>HUDCO IS Equity</t>
  </si>
  <si>
    <t>HUDCO IB Equity</t>
  </si>
  <si>
    <t>HUDCO IN Equity</t>
  </si>
  <si>
    <t>HUDCO=U5 IS</t>
  </si>
  <si>
    <t>HUDCO=V5 IS</t>
  </si>
  <si>
    <t>HUDCO=X5 IS</t>
  </si>
  <si>
    <t>HUVR</t>
  </si>
  <si>
    <t>HINDUNILVR</t>
  </si>
  <si>
    <t>HUVR IS Equity</t>
  </si>
  <si>
    <t>HUVR IB Equity</t>
  </si>
  <si>
    <t>HUVR IN Equity</t>
  </si>
  <si>
    <t>HUVR=U5 IS</t>
  </si>
  <si>
    <t>HUVR=V5 IS</t>
  </si>
  <si>
    <t>HUVR=X5 IS</t>
  </si>
  <si>
    <t>HZ</t>
  </si>
  <si>
    <t>HINDZINC</t>
  </si>
  <si>
    <t>HZ IS Equity</t>
  </si>
  <si>
    <t>HZ IB Equity</t>
  </si>
  <si>
    <t>HZ IN Equity</t>
  </si>
  <si>
    <t>HZ=U5 IS</t>
  </si>
  <si>
    <t>HZ=V5 IS</t>
  </si>
  <si>
    <t>HZ=X5 IS</t>
  </si>
  <si>
    <t>ICICIBC</t>
  </si>
  <si>
    <t>ICICIGI</t>
  </si>
  <si>
    <t>ICICIBC IS Equity</t>
  </si>
  <si>
    <t>ICICIBC IB Equity</t>
  </si>
  <si>
    <t>ICICIBC IN Equity</t>
  </si>
  <si>
    <t>ICICG=U5 IS</t>
  </si>
  <si>
    <t>ICICG=V5 IS</t>
  </si>
  <si>
    <t>ICICG=X5 IS</t>
  </si>
  <si>
    <t>ICICIBANK</t>
  </si>
  <si>
    <t>ICICIGI IS Equity</t>
  </si>
  <si>
    <t>ICICIGI IB Equity</t>
  </si>
  <si>
    <t>ICICIGI IN Equity</t>
  </si>
  <si>
    <t>ICICI=U5 IS</t>
  </si>
  <si>
    <t>ICICI=V5 IS</t>
  </si>
  <si>
    <t>ICICI=X5 IS</t>
  </si>
  <si>
    <t>IDEA</t>
  </si>
  <si>
    <t>IDEA IS Equity</t>
  </si>
  <si>
    <t>IDEA IB Equity</t>
  </si>
  <si>
    <t>IDEA IN Equity</t>
  </si>
  <si>
    <t>IDEA=U5 IS</t>
  </si>
  <si>
    <t>IDEA=V5 IS</t>
  </si>
  <si>
    <t>IDEA=X5 IS</t>
  </si>
  <si>
    <t>IDFCFB</t>
  </si>
  <si>
    <t>IDFCFIRSTB</t>
  </si>
  <si>
    <t>IDFCFB IS Equity</t>
  </si>
  <si>
    <t>IDFCFB IB Equity</t>
  </si>
  <si>
    <t>IDFCFB IN Equity</t>
  </si>
  <si>
    <t>IDFCF=U5 IS</t>
  </si>
  <si>
    <t>IDFCF=V5 IS</t>
  </si>
  <si>
    <t>IDFCF=X5 IS</t>
  </si>
  <si>
    <t>IEX</t>
  </si>
  <si>
    <t>IEX IS Equity</t>
  </si>
  <si>
    <t>IEX IB Equity</t>
  </si>
  <si>
    <t>IEX IN Equity</t>
  </si>
  <si>
    <t>IEX=U5 IS</t>
  </si>
  <si>
    <t>IEX=V5 IS</t>
  </si>
  <si>
    <t>IEX=X5 IS</t>
  </si>
  <si>
    <t>IGL</t>
  </si>
  <si>
    <t>IGL IS Equity</t>
  </si>
  <si>
    <t>IGL IB Equity</t>
  </si>
  <si>
    <t>IGL IN Equity</t>
  </si>
  <si>
    <t>IGL=U5 IS</t>
  </si>
  <si>
    <t>IGL=V5 IS</t>
  </si>
  <si>
    <t>IGL=X5 IS</t>
  </si>
  <si>
    <t>IH</t>
  </si>
  <si>
    <t>INDHOTEL</t>
  </si>
  <si>
    <t>IH IS Equity</t>
  </si>
  <si>
    <t>IH IB Equity</t>
  </si>
  <si>
    <t>IH IN Equity</t>
  </si>
  <si>
    <t>IH=U5 IS</t>
  </si>
  <si>
    <t>IH=V5 IS</t>
  </si>
  <si>
    <t>IH=X5 IS</t>
  </si>
  <si>
    <t>IIB</t>
  </si>
  <si>
    <t>INDUSINDBK</t>
  </si>
  <si>
    <t>IIB IS Equity</t>
  </si>
  <si>
    <t>IIB IB Equity</t>
  </si>
  <si>
    <t>IIB IN Equity</t>
  </si>
  <si>
    <t>IIB=U5 IS</t>
  </si>
  <si>
    <t>IIB=V5 IS</t>
  </si>
  <si>
    <t>IIB=X5 IS</t>
  </si>
  <si>
    <t>IIFL</t>
  </si>
  <si>
    <t>IIFL IS Equity</t>
  </si>
  <si>
    <t>IIFL IB Equity</t>
  </si>
  <si>
    <t>IIFL IN Equity</t>
  </si>
  <si>
    <t>IIFL=U5 IS</t>
  </si>
  <si>
    <t>IIFL=V5 IS</t>
  </si>
  <si>
    <t>IIFL=X5 IS</t>
  </si>
  <si>
    <t>INBK</t>
  </si>
  <si>
    <t>INDIANB</t>
  </si>
  <si>
    <t>INBK IS Equity</t>
  </si>
  <si>
    <t>INBK IB Equity</t>
  </si>
  <si>
    <t>INBK IN Equity</t>
  </si>
  <si>
    <t>INBK=U5 IS</t>
  </si>
  <si>
    <t>INBK=V5 IS</t>
  </si>
  <si>
    <t>INBK=X5 IS</t>
  </si>
  <si>
    <t>INDIGO</t>
  </si>
  <si>
    <t>INDIGO IS Equity</t>
  </si>
  <si>
    <t>INDIGO IB Equity</t>
  </si>
  <si>
    <t>INDIGO IN Equity</t>
  </si>
  <si>
    <t>INDIG=U5 IS</t>
  </si>
  <si>
    <t>INDIG=V5 IS</t>
  </si>
  <si>
    <t>INDIG=X5 IS</t>
  </si>
  <si>
    <t>INDUSTOW</t>
  </si>
  <si>
    <t>INDUSTOWER</t>
  </si>
  <si>
    <t>INDUSTOW IS Equity</t>
  </si>
  <si>
    <t>INDUSTOW IB Equity</t>
  </si>
  <si>
    <t>INDUSTOW IN Equity</t>
  </si>
  <si>
    <t>INDUS=U5 IS</t>
  </si>
  <si>
    <t>INDUS=V5 IS</t>
  </si>
  <si>
    <t>INDUS=X5 IS</t>
  </si>
  <si>
    <t>INFO</t>
  </si>
  <si>
    <t>INFY</t>
  </si>
  <si>
    <t>INFO IS Equity</t>
  </si>
  <si>
    <t>INFO IB Equity</t>
  </si>
  <si>
    <t>INFO IN Equity</t>
  </si>
  <si>
    <t>INFO=U5 IS</t>
  </si>
  <si>
    <t>INFO=V5 IS</t>
  </si>
  <si>
    <t>INFO=X5 IS</t>
  </si>
  <si>
    <t>INFOE</t>
  </si>
  <si>
    <t>NAUKRI</t>
  </si>
  <si>
    <t>INFOE IS Equity</t>
  </si>
  <si>
    <t>INFOE IB Equity</t>
  </si>
  <si>
    <t>INFOE IN Equity</t>
  </si>
  <si>
    <t>INFOE=U5 IS</t>
  </si>
  <si>
    <t>INFOE=V5 IS</t>
  </si>
  <si>
    <t>INFOE=X5 IS</t>
  </si>
  <si>
    <t>INXW</t>
  </si>
  <si>
    <t>INOXWIND</t>
  </si>
  <si>
    <t>INXW IS Equity</t>
  </si>
  <si>
    <t>INXW IB Equity</t>
  </si>
  <si>
    <t>INXW IN Equity</t>
  </si>
  <si>
    <t>INXW=U5 IS</t>
  </si>
  <si>
    <t>INXW=V5 IS</t>
  </si>
  <si>
    <t>INXW=X5 IS</t>
  </si>
  <si>
    <t>IOCL</t>
  </si>
  <si>
    <t>IOC</t>
  </si>
  <si>
    <t>IOCL IS Equity</t>
  </si>
  <si>
    <t>IOCL IB Equity</t>
  </si>
  <si>
    <t>IOCL IN Equity</t>
  </si>
  <si>
    <t>IOCL=U5 IS</t>
  </si>
  <si>
    <t>IOCL=V5 IS</t>
  </si>
  <si>
    <t>IOCL=X5 IS</t>
  </si>
  <si>
    <t>IPRU</t>
  </si>
  <si>
    <t>ICICIPRULI</t>
  </si>
  <si>
    <t>IPRU IS Equity</t>
  </si>
  <si>
    <t>IPRU IB Equity</t>
  </si>
  <si>
    <t>IPRU IN Equity</t>
  </si>
  <si>
    <t>IPRU=U5 IS</t>
  </si>
  <si>
    <t>IPRU=V5 IS</t>
  </si>
  <si>
    <t>IPRU=X5 IS</t>
  </si>
  <si>
    <t>IRCTC</t>
  </si>
  <si>
    <t>IRCTC IS Equity</t>
  </si>
  <si>
    <t>IRCTC IB Equity</t>
  </si>
  <si>
    <t>IRCTC IN Equity</t>
  </si>
  <si>
    <t>IRCTC=U5 IS</t>
  </si>
  <si>
    <t>IRCTC=V5 IS</t>
  </si>
  <si>
    <t>IRCTC=X5 IS</t>
  </si>
  <si>
    <t>IREDA</t>
  </si>
  <si>
    <t>IREDA IS Equity</t>
  </si>
  <si>
    <t>IREDA IB Equity</t>
  </si>
  <si>
    <t>IREDA IN Equity</t>
  </si>
  <si>
    <t>IREDA=U5 IS</t>
  </si>
  <si>
    <t>IREDA=V5 IS</t>
  </si>
  <si>
    <t>IREDA=X5 IS</t>
  </si>
  <si>
    <t>IRFC</t>
  </si>
  <si>
    <t>IRFC IS Equity</t>
  </si>
  <si>
    <t>IRFC IB Equity</t>
  </si>
  <si>
    <t>IRFC IN Equity</t>
  </si>
  <si>
    <t>IRFC=U5 IS</t>
  </si>
  <si>
    <t>IRFC=V5 IS</t>
  </si>
  <si>
    <t>IRFC=X5 IS</t>
  </si>
  <si>
    <t>ITC</t>
  </si>
  <si>
    <t>ITC IS Equity</t>
  </si>
  <si>
    <t>ITC IB Equity</t>
  </si>
  <si>
    <t>ITC IN Equity</t>
  </si>
  <si>
    <t>ITC=U5 IS</t>
  </si>
  <si>
    <t>ITC=V5 IS</t>
  </si>
  <si>
    <t>ITC=X5 IS</t>
  </si>
  <si>
    <t>JINDALST</t>
  </si>
  <si>
    <t>JINDALSTEL</t>
  </si>
  <si>
    <t>JINDALST IS Equity</t>
  </si>
  <si>
    <t>JINDALST IB Equity</t>
  </si>
  <si>
    <t>JINDALST IN Equity</t>
  </si>
  <si>
    <t>JINDA=U5 IS</t>
  </si>
  <si>
    <t>JINDA=V5 IS</t>
  </si>
  <si>
    <t>JINDA=X5 IS</t>
  </si>
  <si>
    <t>JIOFIN</t>
  </si>
  <si>
    <t>JIOFIN IS Equity</t>
  </si>
  <si>
    <t>JIOFIN IB Equity</t>
  </si>
  <si>
    <t>JIOFIN IN Equity</t>
  </si>
  <si>
    <t>JIOFI=U5 IS</t>
  </si>
  <si>
    <t>JIOFI=V5 IS</t>
  </si>
  <si>
    <t>JIOFI=X5 IS</t>
  </si>
  <si>
    <t>JSTL</t>
  </si>
  <si>
    <t>JSWSTEEL</t>
  </si>
  <si>
    <t>JSTL IS Equity</t>
  </si>
  <si>
    <t>JSTL IB Equity</t>
  </si>
  <si>
    <t>JSTL IN Equity</t>
  </si>
  <si>
    <t>JSTL=U5 IS</t>
  </si>
  <si>
    <t>JSTL=V5 IS</t>
  </si>
  <si>
    <t>JSTL=X5 IS</t>
  </si>
  <si>
    <t>JSW</t>
  </si>
  <si>
    <t>JSWENERGY</t>
  </si>
  <si>
    <t>JSW IS Equity</t>
  </si>
  <si>
    <t>JSW IB Equity</t>
  </si>
  <si>
    <t>JSW IN Equity</t>
  </si>
  <si>
    <t>JSW=U5 IS</t>
  </si>
  <si>
    <t>JSW=V5 IS</t>
  </si>
  <si>
    <t>JSW=X5 IS</t>
  </si>
  <si>
    <t>JUBI</t>
  </si>
  <si>
    <t>JUBLFOOD</t>
  </si>
  <si>
    <t>JUBI IS Equity</t>
  </si>
  <si>
    <t>JUBI IB Equity</t>
  </si>
  <si>
    <t>JUBI IN Equity</t>
  </si>
  <si>
    <t>JUBI=U5 IS</t>
  </si>
  <si>
    <t>JUBI=V5 IS</t>
  </si>
  <si>
    <t>JUBI=X5 IS</t>
  </si>
  <si>
    <t>KALYANKJ</t>
  </si>
  <si>
    <t>KALYANKJIL</t>
  </si>
  <si>
    <t>KALYANKJ IS Equity</t>
  </si>
  <si>
    <t>KALYANKJ IB Equity</t>
  </si>
  <si>
    <t>KALYANKJ IN Equity</t>
  </si>
  <si>
    <t>KALYA=U5 IS</t>
  </si>
  <si>
    <t>KALYA=V5 IS</t>
  </si>
  <si>
    <t>KALYA=X5 IS</t>
  </si>
  <si>
    <t>KAYNES</t>
  </si>
  <si>
    <t>KAYNES IS Equity</t>
  </si>
  <si>
    <t>KAYNES IB Equity</t>
  </si>
  <si>
    <t>KAYNES IN Equity</t>
  </si>
  <si>
    <t>KAYNE=U5 IS</t>
  </si>
  <si>
    <t>KAYNE=V5 IS</t>
  </si>
  <si>
    <t>KAYNE=X5 IS</t>
  </si>
  <si>
    <t>KEII</t>
  </si>
  <si>
    <t>KEI</t>
  </si>
  <si>
    <t>KEII IS Equity</t>
  </si>
  <si>
    <t>KEII IB Equity</t>
  </si>
  <si>
    <t>KEII IN Equity</t>
  </si>
  <si>
    <t>KEII=U5 IS</t>
  </si>
  <si>
    <t>KEII=V5 IS</t>
  </si>
  <si>
    <t>KEII=X5 IS</t>
  </si>
  <si>
    <t>KFINTECH</t>
  </si>
  <si>
    <t>KFINTECH IS Equity</t>
  </si>
  <si>
    <t>KFINTECH IB Equity</t>
  </si>
  <si>
    <t>KFINTECH IN Equity</t>
  </si>
  <si>
    <t>KFINT=U5 IS</t>
  </si>
  <si>
    <t>KFINT=V5 IS</t>
  </si>
  <si>
    <t>KFINT=X5 IS</t>
  </si>
  <si>
    <t>KKC</t>
  </si>
  <si>
    <t>CUMMINSIND</t>
  </si>
  <si>
    <t>KKC IS Equity</t>
  </si>
  <si>
    <t>KKC IB Equity</t>
  </si>
  <si>
    <t>KKC IN Equity</t>
  </si>
  <si>
    <t>KKC=U5 IS</t>
  </si>
  <si>
    <t>KKC=V5 IS</t>
  </si>
  <si>
    <t>KKC=X5 IS</t>
  </si>
  <si>
    <t>KMB</t>
  </si>
  <si>
    <t>KOTAKBANK</t>
  </si>
  <si>
    <t>KMB IS Equity</t>
  </si>
  <si>
    <t>KMB IB Equity</t>
  </si>
  <si>
    <t>KMB IN Equity</t>
  </si>
  <si>
    <t>KMB=U5 IS</t>
  </si>
  <si>
    <t>KMB=V5 IS</t>
  </si>
  <si>
    <t>KMB=X5 IS</t>
  </si>
  <si>
    <t>KPITTECH</t>
  </si>
  <si>
    <t>KPITTECH IS Equity</t>
  </si>
  <si>
    <t>KPITTECH IB Equity</t>
  </si>
  <si>
    <t>KPITTECH IN Equity</t>
  </si>
  <si>
    <t>KPITT=U5 IS</t>
  </si>
  <si>
    <t>KPITT=V5 IS</t>
  </si>
  <si>
    <t>KPITT=X5 IS</t>
  </si>
  <si>
    <t>LAURUS</t>
  </si>
  <si>
    <t>LAURUSLABS</t>
  </si>
  <si>
    <t>LAURUS IS Equity</t>
  </si>
  <si>
    <t>LAURUS IB Equity</t>
  </si>
  <si>
    <t>LAURUS IN Equity</t>
  </si>
  <si>
    <t>LAURU=U5 IS</t>
  </si>
  <si>
    <t>LAURU=V5 IS</t>
  </si>
  <si>
    <t>LAURU=X5 IS</t>
  </si>
  <si>
    <t>LICHF</t>
  </si>
  <si>
    <t>LICHSGFIN</t>
  </si>
  <si>
    <t>LICHF IS Equity</t>
  </si>
  <si>
    <t>LICHF IB Equity</t>
  </si>
  <si>
    <t>LICHF IN Equity</t>
  </si>
  <si>
    <t>LICHF=U5 IS</t>
  </si>
  <si>
    <t>LICHF=V5 IS</t>
  </si>
  <si>
    <t>LICHF=X5 IS</t>
  </si>
  <si>
    <t>LICI</t>
  </si>
  <si>
    <t>LICI IS Equity</t>
  </si>
  <si>
    <t>LICI IB Equity</t>
  </si>
  <si>
    <t>LICI IN Equity</t>
  </si>
  <si>
    <t>LICI=U5 IS</t>
  </si>
  <si>
    <t>LICI=V5 IS</t>
  </si>
  <si>
    <t>LICI=X5 IS</t>
  </si>
  <si>
    <t>LODHA</t>
  </si>
  <si>
    <t>LODHA IS Equity</t>
  </si>
  <si>
    <t>LODHA IB Equity</t>
  </si>
  <si>
    <t>LODHA IN Equity</t>
  </si>
  <si>
    <t>LODHA=U5 IS</t>
  </si>
  <si>
    <t>LODHA=V5 IS</t>
  </si>
  <si>
    <t>LODHA=X5 IS</t>
  </si>
  <si>
    <t>LPC</t>
  </si>
  <si>
    <t>LUPIN</t>
  </si>
  <si>
    <t>LPC IS Equity</t>
  </si>
  <si>
    <t>LPC IB Equity</t>
  </si>
  <si>
    <t>LPC IN Equity</t>
  </si>
  <si>
    <t>LPC=U5 IS</t>
  </si>
  <si>
    <t>LPC=V5 IS</t>
  </si>
  <si>
    <t>LPC=X5 IS</t>
  </si>
  <si>
    <t>LT</t>
  </si>
  <si>
    <t>LT IS Equity</t>
  </si>
  <si>
    <t>LT IB Equity</t>
  </si>
  <si>
    <t>LT IN Equity</t>
  </si>
  <si>
    <t>LT=U5 IS</t>
  </si>
  <si>
    <t>LT=V5 IS</t>
  </si>
  <si>
    <t>LT=X5 IS</t>
  </si>
  <si>
    <t>LTF</t>
  </si>
  <si>
    <t>LTF IS Equity</t>
  </si>
  <si>
    <t>LTF IB Equity</t>
  </si>
  <si>
    <t>LTF IN Equity</t>
  </si>
  <si>
    <t>LTF=U5 IS</t>
  </si>
  <si>
    <t>LTF=V5 IS</t>
  </si>
  <si>
    <t>LTF=X5 IS</t>
  </si>
  <si>
    <t>LTIM</t>
  </si>
  <si>
    <t>LTIM IS Equity</t>
  </si>
  <si>
    <t>LTIM IB Equity</t>
  </si>
  <si>
    <t>LTIM IN Equity</t>
  </si>
  <si>
    <t>LTIM=U5 IS</t>
  </si>
  <si>
    <t>LTIM=V5 IS</t>
  </si>
  <si>
    <t>LTIM=X5 IS</t>
  </si>
  <si>
    <t>MANKIND</t>
  </si>
  <si>
    <t>MANKIND IS Equity</t>
  </si>
  <si>
    <t>MANKIND IB Equity</t>
  </si>
  <si>
    <t>MANKIND IN Equity</t>
  </si>
  <si>
    <t>MANKI=U5 IS</t>
  </si>
  <si>
    <t>MANKI=V5 IS</t>
  </si>
  <si>
    <t>MANKI=X5 IS</t>
  </si>
  <si>
    <t>MAXF</t>
  </si>
  <si>
    <t>MFSL</t>
  </si>
  <si>
    <t>MAXF IS Equity</t>
  </si>
  <si>
    <t>MAXF IB Equity</t>
  </si>
  <si>
    <t>MAXF IN Equity</t>
  </si>
  <si>
    <t>MAXF=U5 IS</t>
  </si>
  <si>
    <t>MAXF=V5 IS</t>
  </si>
  <si>
    <t>MAXF=X5 IS</t>
  </si>
  <si>
    <t>MAXHEALT</t>
  </si>
  <si>
    <t>MAXHEALTH</t>
  </si>
  <si>
    <t>MAXHEALT IS Equity</t>
  </si>
  <si>
    <t>MAXHEALT IB Equity</t>
  </si>
  <si>
    <t>MAXHEALT IN Equity</t>
  </si>
  <si>
    <t>MAXHE=U5 IS</t>
  </si>
  <si>
    <t>MAXHE=V5 IS</t>
  </si>
  <si>
    <t>MAXHE=X5 IS</t>
  </si>
  <si>
    <t>MAZDOCKS</t>
  </si>
  <si>
    <t>MAZDOCK</t>
  </si>
  <si>
    <t>MAZDOCKS IS Equity</t>
  </si>
  <si>
    <t>MAZDOCKS IB Equity</t>
  </si>
  <si>
    <t>MAZDOCKS IN Equity</t>
  </si>
  <si>
    <t>MAZDO=U5 IS</t>
  </si>
  <si>
    <t>MAZDO=V5 IS</t>
  </si>
  <si>
    <t>MAZDO=X5 IS</t>
  </si>
  <si>
    <t>MCX</t>
  </si>
  <si>
    <t>MCX IS Equity</t>
  </si>
  <si>
    <t>MCX IB Equity</t>
  </si>
  <si>
    <t>MCX IN Equity</t>
  </si>
  <si>
    <t>MCX=U5 IS</t>
  </si>
  <si>
    <t>MCX=V5 IS</t>
  </si>
  <si>
    <t>MCX=X5 IS</t>
  </si>
  <si>
    <t>MGFL</t>
  </si>
  <si>
    <t>MANAPPURAM</t>
  </si>
  <si>
    <t>MGFL IS Equity</t>
  </si>
  <si>
    <t>MGFL IB Equity</t>
  </si>
  <si>
    <t>MGFL IN Equity</t>
  </si>
  <si>
    <t>MGFL=U5 IS</t>
  </si>
  <si>
    <t>MGFL=V5 IS</t>
  </si>
  <si>
    <t>MGFL=X5 IS</t>
  </si>
  <si>
    <t>MM</t>
  </si>
  <si>
    <t>M&amp;M</t>
  </si>
  <si>
    <t>MM IS Equity</t>
  </si>
  <si>
    <t>MM IB Equity</t>
  </si>
  <si>
    <t>MM IN Equity</t>
  </si>
  <si>
    <t>MM=U5 IS</t>
  </si>
  <si>
    <t>MM=V5 IS</t>
  </si>
  <si>
    <t>MM=X5 IS</t>
  </si>
  <si>
    <t>MOTHERSO</t>
  </si>
  <si>
    <t>MOTHERSON</t>
  </si>
  <si>
    <t>MOTHERSO IS Equity</t>
  </si>
  <si>
    <t>MOTHERSO IB Equity</t>
  </si>
  <si>
    <t>MOTHERSO IN Equity</t>
  </si>
  <si>
    <t>MOTHE=U5 IS</t>
  </si>
  <si>
    <t>MOTHE=V5 IS</t>
  </si>
  <si>
    <t>MOTHE=X5 IS</t>
  </si>
  <si>
    <t>MPHL</t>
  </si>
  <si>
    <t>MPHASIS</t>
  </si>
  <si>
    <t>MPHL IS Equity</t>
  </si>
  <si>
    <t>MPHL IB Equity</t>
  </si>
  <si>
    <t>MPHL IN Equity</t>
  </si>
  <si>
    <t>MPHL=U5 IS</t>
  </si>
  <si>
    <t>MPHL=V5 IS</t>
  </si>
  <si>
    <t>MPHL=X5 IS</t>
  </si>
  <si>
    <t>MRCO</t>
  </si>
  <si>
    <t>MARICO</t>
  </si>
  <si>
    <t>MRCO IS Equity</t>
  </si>
  <si>
    <t>MRCO IB Equity</t>
  </si>
  <si>
    <t>MRCO IN Equity</t>
  </si>
  <si>
    <t>MRCO=U5 IS</t>
  </si>
  <si>
    <t>MRCO=V5 IS</t>
  </si>
  <si>
    <t>MRCO=X5 IS</t>
  </si>
  <si>
    <t>MSIL</t>
  </si>
  <si>
    <t>MARUTI</t>
  </si>
  <si>
    <t>MSIL IS Equity</t>
  </si>
  <si>
    <t>MSIL IB Equity</t>
  </si>
  <si>
    <t>MSIL IN Equity</t>
  </si>
  <si>
    <t>MSIL=U5 IS</t>
  </si>
  <si>
    <t>MSIL=V5 IS</t>
  </si>
  <si>
    <t>MSIL=X5 IS</t>
  </si>
  <si>
    <t>MUTH</t>
  </si>
  <si>
    <t>MUTHOOTFIN</t>
  </si>
  <si>
    <t>MUTH IS Equity</t>
  </si>
  <si>
    <t>MUTH IB Equity</t>
  </si>
  <si>
    <t>MUTH IN Equity</t>
  </si>
  <si>
    <t>MUTH=U5 IS</t>
  </si>
  <si>
    <t>MUTH=V5 IS</t>
  </si>
  <si>
    <t>MUTH=X5 IS</t>
  </si>
  <si>
    <t>NACL</t>
  </si>
  <si>
    <t>NATIONALUM</t>
  </si>
  <si>
    <t>NACL IS Equity</t>
  </si>
  <si>
    <t>NACL IB Equity</t>
  </si>
  <si>
    <t>NACL IN Equity</t>
  </si>
  <si>
    <t>NACL=U5 IS</t>
  </si>
  <si>
    <t>NACL=V5 IS</t>
  </si>
  <si>
    <t>NACL=X5 IS</t>
  </si>
  <si>
    <t>NBCC</t>
  </si>
  <si>
    <t>NBCC IS Equity</t>
  </si>
  <si>
    <t>NBCC IB Equity</t>
  </si>
  <si>
    <t>NBCC IN Equity</t>
  </si>
  <si>
    <t>NBCC=U5 IS</t>
  </si>
  <si>
    <t>NBCC=V5 IS</t>
  </si>
  <si>
    <t>NBCC=X5 IS</t>
  </si>
  <si>
    <t>NEST</t>
  </si>
  <si>
    <t>NESTLEIND</t>
  </si>
  <si>
    <t>NEST IS Equity</t>
  </si>
  <si>
    <t>NEST IB Equity</t>
  </si>
  <si>
    <t>NEST IN Equity</t>
  </si>
  <si>
    <t>NEST=U5 IS</t>
  </si>
  <si>
    <t>NEST=V5 IS</t>
  </si>
  <si>
    <t>NEST=X5 IS</t>
  </si>
  <si>
    <t>NHPC</t>
  </si>
  <si>
    <t>NHPC IS Equity</t>
  </si>
  <si>
    <t>NHPC IB Equity</t>
  </si>
  <si>
    <t>NHPC IN Equity</t>
  </si>
  <si>
    <t>NHPC=U5 IS</t>
  </si>
  <si>
    <t>NHPC=V5 IS</t>
  </si>
  <si>
    <t>NHPC=X5 IS</t>
  </si>
  <si>
    <t>NJCC</t>
  </si>
  <si>
    <t>NCC</t>
  </si>
  <si>
    <t>NJCC IS Equity</t>
  </si>
  <si>
    <t>NJCC IB Equity</t>
  </si>
  <si>
    <t>NJCC IN Equity</t>
  </si>
  <si>
    <t>NJCC=U5 IS</t>
  </si>
  <si>
    <t>NJCC=V5 IS</t>
  </si>
  <si>
    <t>NJCC=X5 IS</t>
  </si>
  <si>
    <t>NMDC</t>
  </si>
  <si>
    <t>NMDC IS Equity</t>
  </si>
  <si>
    <t>NMDC IB Equity</t>
  </si>
  <si>
    <t>NMDC IN Equity</t>
  </si>
  <si>
    <t>NMDC=U5 IS</t>
  </si>
  <si>
    <t>NMDC=V5 IS</t>
  </si>
  <si>
    <t>NMDC=X5 IS</t>
  </si>
  <si>
    <t>NTPC</t>
  </si>
  <si>
    <t>NTPC IS Equity</t>
  </si>
  <si>
    <t>NTPC IB Equity</t>
  </si>
  <si>
    <t>NTPC IN Equity</t>
  </si>
  <si>
    <t>NTPC=U5 IS</t>
  </si>
  <si>
    <t>NTPC=V5 IS</t>
  </si>
  <si>
    <t>NTPC=X5 IS</t>
  </si>
  <si>
    <t>NUVAMA</t>
  </si>
  <si>
    <t>NUVAMA IS Equity</t>
  </si>
  <si>
    <t>NUVAMA IB Equity</t>
  </si>
  <si>
    <t>NUVAMA IN Equity</t>
  </si>
  <si>
    <t>NUVAM=U5 IS</t>
  </si>
  <si>
    <t>NUVAM=V5 IS</t>
  </si>
  <si>
    <t>NUVAM=X5 IS</t>
  </si>
  <si>
    <t>NYKAA</t>
  </si>
  <si>
    <t>NYKAA IS Equity</t>
  </si>
  <si>
    <t>NYKAA IB Equity</t>
  </si>
  <si>
    <t>NYKAA IN Equity</t>
  </si>
  <si>
    <t>NYKAA=U5 IS</t>
  </si>
  <si>
    <t>NYKAA=V5 IS</t>
  </si>
  <si>
    <t>NYKAA=X5 IS</t>
  </si>
  <si>
    <t>OBER</t>
  </si>
  <si>
    <t>OBEROIRLTY</t>
  </si>
  <si>
    <t>OBER IS Equity</t>
  </si>
  <si>
    <t>OBER IB Equity</t>
  </si>
  <si>
    <t>OBER IN Equity</t>
  </si>
  <si>
    <t>OBER=U5 IS</t>
  </si>
  <si>
    <t>OBER=V5 IS</t>
  </si>
  <si>
    <t>OBER=X5 IS</t>
  </si>
  <si>
    <t>OFSS</t>
  </si>
  <si>
    <t>OFSS IS Equity</t>
  </si>
  <si>
    <t>OFSS IB Equity</t>
  </si>
  <si>
    <t>OFSS IN Equity</t>
  </si>
  <si>
    <t>OFSS=U5 IS</t>
  </si>
  <si>
    <t>OFSS=V5 IS</t>
  </si>
  <si>
    <t>OFSS=X5 IS</t>
  </si>
  <si>
    <t>OINL</t>
  </si>
  <si>
    <t>OIL</t>
  </si>
  <si>
    <t>OINL IS Equity</t>
  </si>
  <si>
    <t>OINL IB Equity</t>
  </si>
  <si>
    <t>OINL IN Equity</t>
  </si>
  <si>
    <t>OINL=U5 IS</t>
  </si>
  <si>
    <t>OINL=V5 IS</t>
  </si>
  <si>
    <t>OINL=X5 IS</t>
  </si>
  <si>
    <t>ONGC</t>
  </si>
  <si>
    <t>ONGC IS Equity</t>
  </si>
  <si>
    <t>ONGC IB Equity</t>
  </si>
  <si>
    <t>ONGC IN Equity</t>
  </si>
  <si>
    <t>ONGC=U5 IS</t>
  </si>
  <si>
    <t>ONGC=V5 IS</t>
  </si>
  <si>
    <t>ONGC=X5 IS</t>
  </si>
  <si>
    <t>PAG</t>
  </si>
  <si>
    <t>PAGEIND</t>
  </si>
  <si>
    <t>PAG IS Equity</t>
  </si>
  <si>
    <t>PAG IB Equity</t>
  </si>
  <si>
    <t>PAG IN Equity</t>
  </si>
  <si>
    <t>PAG=U5 IS</t>
  </si>
  <si>
    <t>PAG=V5 IS</t>
  </si>
  <si>
    <t>PAG=X5 IS</t>
  </si>
  <si>
    <t>PATANJAL</t>
  </si>
  <si>
    <t>PATANJALI</t>
  </si>
  <si>
    <t>PATANJAL IS Equity</t>
  </si>
  <si>
    <t>PATANJAL IB Equity</t>
  </si>
  <si>
    <t>PATANJAL IN Equity</t>
  </si>
  <si>
    <t>PATAN=U5 IS</t>
  </si>
  <si>
    <t>PATAN=V5 IS</t>
  </si>
  <si>
    <t>PATAN=X5 IS</t>
  </si>
  <si>
    <t>PAYTM</t>
  </si>
  <si>
    <t>PAYTM IS Equity</t>
  </si>
  <si>
    <t>PAYTM IB Equity</t>
  </si>
  <si>
    <t>PAYTM IN Equity</t>
  </si>
  <si>
    <t>PAYTM=U5 IS</t>
  </si>
  <si>
    <t>PAYTM=V5 IS</t>
  </si>
  <si>
    <t>PAYTM=X5 IS</t>
  </si>
  <si>
    <t>PEPL</t>
  </si>
  <si>
    <t>PRESTIGE</t>
  </si>
  <si>
    <t>PEPL IS Equity</t>
  </si>
  <si>
    <t>PEPL IB Equity</t>
  </si>
  <si>
    <t>PEPL IN Equity</t>
  </si>
  <si>
    <t>PEPL=U5 IS</t>
  </si>
  <si>
    <t>PEPL=V5 IS</t>
  </si>
  <si>
    <t>PEPL=X5 IS</t>
  </si>
  <si>
    <t>PGEL</t>
  </si>
  <si>
    <t>PGEL IS Equity</t>
  </si>
  <si>
    <t>PGEL IB Equity</t>
  </si>
  <si>
    <t>PGEL IN Equity</t>
  </si>
  <si>
    <t>PGEL=U5 IS</t>
  </si>
  <si>
    <t>PGEL=V5 IS</t>
  </si>
  <si>
    <t>PGEL=X5 IS</t>
  </si>
  <si>
    <t>PHNX</t>
  </si>
  <si>
    <t>PHOENIXLTD</t>
  </si>
  <si>
    <t>PHNX IS Equity</t>
  </si>
  <si>
    <t>PHNX IB Equity</t>
  </si>
  <si>
    <t>PHNX IN Equity</t>
  </si>
  <si>
    <t>PHNX=U5 IS</t>
  </si>
  <si>
    <t>PHNX=V5 IS</t>
  </si>
  <si>
    <t>PHNX=X5 IS</t>
  </si>
  <si>
    <t>PI</t>
  </si>
  <si>
    <t>PIIND</t>
  </si>
  <si>
    <t>PI IS Equity</t>
  </si>
  <si>
    <t>PI IB Equity</t>
  </si>
  <si>
    <t>PI IN Equity</t>
  </si>
  <si>
    <t>PI=U5 IS</t>
  </si>
  <si>
    <t>PI=V5 IS</t>
  </si>
  <si>
    <t>PI=X5 IS</t>
  </si>
  <si>
    <t>PIDI</t>
  </si>
  <si>
    <t>PIDILITIND</t>
  </si>
  <si>
    <t>PIDI IS Equity</t>
  </si>
  <si>
    <t>PIDI IB Equity</t>
  </si>
  <si>
    <t>PIDI IN Equity</t>
  </si>
  <si>
    <t>PIDI=U5 IS</t>
  </si>
  <si>
    <t>PIDI=V5 IS</t>
  </si>
  <si>
    <t>PIDI=X5 IS</t>
  </si>
  <si>
    <t>PIRPHARM</t>
  </si>
  <si>
    <t>PPLPHARMA</t>
  </si>
  <si>
    <t>PIRPHARM IS Equity</t>
  </si>
  <si>
    <t>PIRPHARM IB Equity</t>
  </si>
  <si>
    <t>PIRPHARM IN Equity</t>
  </si>
  <si>
    <t>PIRPH=U5 IS</t>
  </si>
  <si>
    <t>PIRPH=V5 IS</t>
  </si>
  <si>
    <t>PIRPH=X5 IS</t>
  </si>
  <si>
    <t>PLNG</t>
  </si>
  <si>
    <t>PETRONET</t>
  </si>
  <si>
    <t>PLNG IS Equity</t>
  </si>
  <si>
    <t>PLNG IB Equity</t>
  </si>
  <si>
    <t>PLNG IN Equity</t>
  </si>
  <si>
    <t>PLNG=U5 IS</t>
  </si>
  <si>
    <t>PLNG=V5 IS</t>
  </si>
  <si>
    <t>PLNG=X5 IS</t>
  </si>
  <si>
    <t>PNB</t>
  </si>
  <si>
    <t>PNB IS Equity</t>
  </si>
  <si>
    <t>PNB IB Equity</t>
  </si>
  <si>
    <t>PNB IN Equity</t>
  </si>
  <si>
    <t>PNB=U5 IS</t>
  </si>
  <si>
    <t>PNB=V5 IS</t>
  </si>
  <si>
    <t>PNB=X5 IS</t>
  </si>
  <si>
    <t>PNBHOUSI</t>
  </si>
  <si>
    <t>PNBHOUSING</t>
  </si>
  <si>
    <t>PNBHOUSI IS Equity</t>
  </si>
  <si>
    <t>PNBHOUSI IB Equity</t>
  </si>
  <si>
    <t>PNBHOUSI IN Equity</t>
  </si>
  <si>
    <t>PNBHO=U5 IS</t>
  </si>
  <si>
    <t>PNBHO=V5 IS</t>
  </si>
  <si>
    <t>PNBHO=X5 IS</t>
  </si>
  <si>
    <t>POLICYBZ</t>
  </si>
  <si>
    <t>POLICYBZR</t>
  </si>
  <si>
    <t>POLICYBZ IS Equity</t>
  </si>
  <si>
    <t>POLICYBZ IB Equity</t>
  </si>
  <si>
    <t>POLICYBZ IN Equity</t>
  </si>
  <si>
    <t>POLIC=U5 IS</t>
  </si>
  <si>
    <t>POLIC=V5 IS</t>
  </si>
  <si>
    <t>POLIC=X5 IS</t>
  </si>
  <si>
    <t>POLYCAB</t>
  </si>
  <si>
    <t>POLYCAB IS Equity</t>
  </si>
  <si>
    <t>POLYCAB IB Equity</t>
  </si>
  <si>
    <t>POLYCAB IN Equity</t>
  </si>
  <si>
    <t>POLYC=U5 IS</t>
  </si>
  <si>
    <t>POLYC=V5 IS</t>
  </si>
  <si>
    <t>POLYC=X5 IS</t>
  </si>
  <si>
    <t>POWF</t>
  </si>
  <si>
    <t>PFC</t>
  </si>
  <si>
    <t>POWF IS Equity</t>
  </si>
  <si>
    <t>POWF IB Equity</t>
  </si>
  <si>
    <t>POWF IN Equity</t>
  </si>
  <si>
    <t>POWF=U5 IS</t>
  </si>
  <si>
    <t>POWF=V5 IS</t>
  </si>
  <si>
    <t>POWF=X5 IS</t>
  </si>
  <si>
    <t>PSYS</t>
  </si>
  <si>
    <t>PERSISTENT</t>
  </si>
  <si>
    <t>PSYS IS Equity</t>
  </si>
  <si>
    <t>PSYS IB Equity</t>
  </si>
  <si>
    <t>PSYS IN Equity</t>
  </si>
  <si>
    <t>PSYS=U5 IS</t>
  </si>
  <si>
    <t>PSYS=V5 IS</t>
  </si>
  <si>
    <t>PSYS=X5 IS</t>
  </si>
  <si>
    <t>PWGR</t>
  </si>
  <si>
    <t>POWERGRID</t>
  </si>
  <si>
    <t>PWGR IS Equity</t>
  </si>
  <si>
    <t>PWGR IB Equity</t>
  </si>
  <si>
    <t>PWGR IN Equity</t>
  </si>
  <si>
    <t>PWGR=U5 IS</t>
  </si>
  <si>
    <t>PWGR=V5 IS</t>
  </si>
  <si>
    <t>PWGR=X5 IS</t>
  </si>
  <si>
    <t>RBK</t>
  </si>
  <si>
    <t>RBLBANK</t>
  </si>
  <si>
    <t>RBK IS Equity</t>
  </si>
  <si>
    <t>RBK IB Equity</t>
  </si>
  <si>
    <t>RBK IN Equity</t>
  </si>
  <si>
    <t>RBK=U5 IS</t>
  </si>
  <si>
    <t>RBK=V5 IS</t>
  </si>
  <si>
    <t>RBK=X5 IS</t>
  </si>
  <si>
    <t>RECL</t>
  </si>
  <si>
    <t>RECLTD</t>
  </si>
  <si>
    <t>RECL IS Equity</t>
  </si>
  <si>
    <t>RECL IB Equity</t>
  </si>
  <si>
    <t>RECL IN Equity</t>
  </si>
  <si>
    <t>RECL=U5 IS</t>
  </si>
  <si>
    <t>RECL=V5 IS</t>
  </si>
  <si>
    <t>RECL=X5 IS</t>
  </si>
  <si>
    <t>RELIANCE</t>
  </si>
  <si>
    <t>RELIANCE IS Equity</t>
  </si>
  <si>
    <t>RELIANCE IB Equity</t>
  </si>
  <si>
    <t>RELIANCE IN Equity</t>
  </si>
  <si>
    <t>RIL=U5 IS</t>
  </si>
  <si>
    <t>RIL=V5 IS</t>
  </si>
  <si>
    <t>RIL=X5 IS</t>
  </si>
  <si>
    <t>RVNL</t>
  </si>
  <si>
    <t>RVNL IS Equity</t>
  </si>
  <si>
    <t>RVNL IB Equity</t>
  </si>
  <si>
    <t>RVNL IN Equity</t>
  </si>
  <si>
    <t>RVNL=U5 IS</t>
  </si>
  <si>
    <t>RVNL=V5 IS</t>
  </si>
  <si>
    <t>RVNL=X5 IS</t>
  </si>
  <si>
    <t>SAIL</t>
  </si>
  <si>
    <t>SAIL IS Equity</t>
  </si>
  <si>
    <t>SAIL IB Equity</t>
  </si>
  <si>
    <t>SAIL IN Equity</t>
  </si>
  <si>
    <t>SAIL=U5 IS</t>
  </si>
  <si>
    <t>SAIL=V5 IS</t>
  </si>
  <si>
    <t>SAIL=X5 IS</t>
  </si>
  <si>
    <t>SAMMAANC</t>
  </si>
  <si>
    <t>SAMMAANCAP</t>
  </si>
  <si>
    <t>SAMMAANC IS Equity</t>
  </si>
  <si>
    <t>SAMMAANC IB Equity</t>
  </si>
  <si>
    <t>SAMMAANC IN Equity</t>
  </si>
  <si>
    <t>SAMMA=U5 IS</t>
  </si>
  <si>
    <t>SAMMA=V5 IS</t>
  </si>
  <si>
    <t>SAMMA=X5 IS</t>
  </si>
  <si>
    <t>SBICARD</t>
  </si>
  <si>
    <t>SBICARD IS Equity</t>
  </si>
  <si>
    <t>SBICARD IB Equity</t>
  </si>
  <si>
    <t>SBICARD IN Equity</t>
  </si>
  <si>
    <t>SBICA=U5 IS</t>
  </si>
  <si>
    <t>SBICA=V5 IS</t>
  </si>
  <si>
    <t>SBICA=X5 IS</t>
  </si>
  <si>
    <t>SBILIFE</t>
  </si>
  <si>
    <t>SBILIFE IS Equity</t>
  </si>
  <si>
    <t>SBILIFE IB Equity</t>
  </si>
  <si>
    <t>SBILIFE IN Equity</t>
  </si>
  <si>
    <t>SBILI=U5 IS</t>
  </si>
  <si>
    <t>SBILI=V5 IS</t>
  </si>
  <si>
    <t>SBILI=X5 IS</t>
  </si>
  <si>
    <t>SBIN</t>
  </si>
  <si>
    <t>SBIN IS Equity</t>
  </si>
  <si>
    <t>SBIN IB Equity</t>
  </si>
  <si>
    <t>SBIN IN Equity</t>
  </si>
  <si>
    <t>SBIN=U5 IS</t>
  </si>
  <si>
    <t>SBIN=V5 IS</t>
  </si>
  <si>
    <t>SBIN=X5 IS</t>
  </si>
  <si>
    <t>SHFL</t>
  </si>
  <si>
    <t>SHRIRAMFIN</t>
  </si>
  <si>
    <t>SHFL IS Equity</t>
  </si>
  <si>
    <t>SHFL IB Equity</t>
  </si>
  <si>
    <t>SHFL IN Equity</t>
  </si>
  <si>
    <t>SHFL=U5 IS</t>
  </si>
  <si>
    <t>SHFL=V5 IS</t>
  </si>
  <si>
    <t>SHFL=X5 IS</t>
  </si>
  <si>
    <t>SI</t>
  </si>
  <si>
    <t>SUPREMEIND</t>
  </si>
  <si>
    <t>SI IS Equity</t>
  </si>
  <si>
    <t>SI IB Equity</t>
  </si>
  <si>
    <t>SI IN Equity</t>
  </si>
  <si>
    <t>SI=U5 IS</t>
  </si>
  <si>
    <t>SI=V5 IS</t>
  </si>
  <si>
    <t>SI=X5 IS</t>
  </si>
  <si>
    <t>SIEM</t>
  </si>
  <si>
    <t>SIEMENS</t>
  </si>
  <si>
    <t>SIEM IS Equity</t>
  </si>
  <si>
    <t>SIEM IB Equity</t>
  </si>
  <si>
    <t>SIEM IN Equity</t>
  </si>
  <si>
    <t>SIEM=U5 IS</t>
  </si>
  <si>
    <t>SIEM=V5 IS</t>
  </si>
  <si>
    <t>SIEM=X5 IS</t>
  </si>
  <si>
    <t>SOIL</t>
  </si>
  <si>
    <t>SOLARINDS</t>
  </si>
  <si>
    <t>SOIL IS Equity</t>
  </si>
  <si>
    <t>SOIL IB Equity</t>
  </si>
  <si>
    <t>SOIL IN Equity</t>
  </si>
  <si>
    <t>SOIL=U5 IS</t>
  </si>
  <si>
    <t>SOIL=V5 IS</t>
  </si>
  <si>
    <t>SOIL=X5 IS</t>
  </si>
  <si>
    <t>SONACOMS</t>
  </si>
  <si>
    <t>SONACOMS IS Equity</t>
  </si>
  <si>
    <t>SONACOMS IB Equity</t>
  </si>
  <si>
    <t>SONACOMS IN Equity</t>
  </si>
  <si>
    <t>SONAC=U5 IS</t>
  </si>
  <si>
    <t>SONAC=V5 IS</t>
  </si>
  <si>
    <t>SONAC=X5 IS</t>
  </si>
  <si>
    <t>SRCM</t>
  </si>
  <si>
    <t>SHREECEM</t>
  </si>
  <si>
    <t>SRCM IS Equity</t>
  </si>
  <si>
    <t>SRCM IB Equity</t>
  </si>
  <si>
    <t>SRCM IN Equity</t>
  </si>
  <si>
    <t>SRCM=U5 IS</t>
  </si>
  <si>
    <t>SRCM=V5 IS</t>
  </si>
  <si>
    <t>SRCM=X5 IS</t>
  </si>
  <si>
    <t>SRF</t>
  </si>
  <si>
    <t>SRF IS Equity</t>
  </si>
  <si>
    <t>SRF IB Equity</t>
  </si>
  <si>
    <t>SRF IN Equity</t>
  </si>
  <si>
    <t>SRF=U5 IS</t>
  </si>
  <si>
    <t>SRF=V5 IS</t>
  </si>
  <si>
    <t>SRF=X5 IS</t>
  </si>
  <si>
    <t>SUEL</t>
  </si>
  <si>
    <t>SUZLON</t>
  </si>
  <si>
    <t>SUEL IS Equity</t>
  </si>
  <si>
    <t>SUEL IB Equity</t>
  </si>
  <si>
    <t>SUEL IN Equity</t>
  </si>
  <si>
    <t>SUEL=U5 IS</t>
  </si>
  <si>
    <t>SUEL=V5 IS</t>
  </si>
  <si>
    <t>SUEL=X5 IS</t>
  </si>
  <si>
    <t>SUNP</t>
  </si>
  <si>
    <t>SUNPHARMA</t>
  </si>
  <si>
    <t>SUNP IS Equity</t>
  </si>
  <si>
    <t>SUNP IB Equity</t>
  </si>
  <si>
    <t>SUNP IN Equity</t>
  </si>
  <si>
    <t>SUNP=U5 IS</t>
  </si>
  <si>
    <t>SUNP=V5 IS</t>
  </si>
  <si>
    <t>SUNP=X5 IS</t>
  </si>
  <si>
    <t>SYNG</t>
  </si>
  <si>
    <t>SYNGENE</t>
  </si>
  <si>
    <t>SYNG IS Equity</t>
  </si>
  <si>
    <t>SYNG IB Equity</t>
  </si>
  <si>
    <t>SYNG IN Equity</t>
  </si>
  <si>
    <t>SYNG=U5 IS</t>
  </si>
  <si>
    <t>SYNG=V5 IS</t>
  </si>
  <si>
    <t>SYNG=X5 IS</t>
  </si>
  <si>
    <t>TATA</t>
  </si>
  <si>
    <t>TATASTEEL</t>
  </si>
  <si>
    <t>TATA IS Equity</t>
  </si>
  <si>
    <t>TATA IB Equity</t>
  </si>
  <si>
    <t>TATA IN Equity</t>
  </si>
  <si>
    <t>TATA=U5 IS</t>
  </si>
  <si>
    <t>TATA=V5 IS</t>
  </si>
  <si>
    <t>TATA=X5 IS</t>
  </si>
  <si>
    <t>TATACONS</t>
  </si>
  <si>
    <t>TATACONSUM</t>
  </si>
  <si>
    <t>TATACONS IS Equity</t>
  </si>
  <si>
    <t>TATACONS IB Equity</t>
  </si>
  <si>
    <t>TATACONS IN Equity</t>
  </si>
  <si>
    <t>TATAC=U5 IS</t>
  </si>
  <si>
    <t>TATAC=V5 IS</t>
  </si>
  <si>
    <t>TATAC=X5 IS</t>
  </si>
  <si>
    <t>TATATECH</t>
  </si>
  <si>
    <t>TATATECH IS Equity</t>
  </si>
  <si>
    <t>TATATECH IB Equity</t>
  </si>
  <si>
    <t>TATATECH IN Equity</t>
  </si>
  <si>
    <t>TATAT=U5 IS</t>
  </si>
  <si>
    <t>TATAT=V5 IS</t>
  </si>
  <si>
    <t>TATAT=X5 IS</t>
  </si>
  <si>
    <t>TCS</t>
  </si>
  <si>
    <t>TCS IS Equity</t>
  </si>
  <si>
    <t>TCS IB Equity</t>
  </si>
  <si>
    <t>TCS IN Equity</t>
  </si>
  <si>
    <t>TCS=U5 IS</t>
  </si>
  <si>
    <t>TCS=V5 IS</t>
  </si>
  <si>
    <t>TCS=X5 IS</t>
  </si>
  <si>
    <t>TECHM</t>
  </si>
  <si>
    <t>TECHM IS Equity</t>
  </si>
  <si>
    <t>TECHM IB Equity</t>
  </si>
  <si>
    <t>TECHM IN Equity</t>
  </si>
  <si>
    <t>TECHM=U5 IS</t>
  </si>
  <si>
    <t>TECHM=V5 IS</t>
  </si>
  <si>
    <t>TECHM=X5 IS</t>
  </si>
  <si>
    <t>TELX</t>
  </si>
  <si>
    <t>TATAELXSI</t>
  </si>
  <si>
    <t>TELX IS Equity</t>
  </si>
  <si>
    <t>TELX IB Equity</t>
  </si>
  <si>
    <t>TELX IN Equity</t>
  </si>
  <si>
    <t>TELX=U5 IS</t>
  </si>
  <si>
    <t>TELX=V5 IS</t>
  </si>
  <si>
    <t>TELX=X5 IS</t>
  </si>
  <si>
    <t>TIINDIA</t>
  </si>
  <si>
    <t>TIINDIA IS Equity</t>
  </si>
  <si>
    <t>TIINDIA IB Equity</t>
  </si>
  <si>
    <t>TIINDIA IN Equity</t>
  </si>
  <si>
    <t>TIIND=U5 IS</t>
  </si>
  <si>
    <t>TIIND=V5 IS</t>
  </si>
  <si>
    <t>TIIND=X5 IS</t>
  </si>
  <si>
    <t>TITAGARH</t>
  </si>
  <si>
    <t>TITAGARH IS Equity</t>
  </si>
  <si>
    <t>TITAGARH IB Equity</t>
  </si>
  <si>
    <t>TITAGARH IN Equity</t>
  </si>
  <si>
    <t>TITAG=U5 IS</t>
  </si>
  <si>
    <t>TITAG=V5 IS</t>
  </si>
  <si>
    <t>TITAG=X5 IS</t>
  </si>
  <si>
    <t>TPW</t>
  </si>
  <si>
    <t>TORNTPOWER</t>
  </si>
  <si>
    <t>TPW IS Equity</t>
  </si>
  <si>
    <t>TPW IB Equity</t>
  </si>
  <si>
    <t>TPW IN Equity</t>
  </si>
  <si>
    <t>TPW=U5 IS</t>
  </si>
  <si>
    <t>TPW=V5 IS</t>
  </si>
  <si>
    <t>TPW=X5 IS</t>
  </si>
  <si>
    <t>TPWR</t>
  </si>
  <si>
    <t>TATAPOWER</t>
  </si>
  <si>
    <t>TPWR IS Equity</t>
  </si>
  <si>
    <t>TPWR IB Equity</t>
  </si>
  <si>
    <t>TPWR IN Equity</t>
  </si>
  <si>
    <t>TPWR=U5 IS</t>
  </si>
  <si>
    <t>TPWR=V5 IS</t>
  </si>
  <si>
    <t>TPWR=X5 IS</t>
  </si>
  <si>
    <t>TRENT</t>
  </si>
  <si>
    <t>TRENT IS Equity</t>
  </si>
  <si>
    <t>TRENT IB Equity</t>
  </si>
  <si>
    <t>TRENT IN Equity</t>
  </si>
  <si>
    <t>TRENT=U5 IS</t>
  </si>
  <si>
    <t>TRENT=V5 IS</t>
  </si>
  <si>
    <t>TRENT=X5 IS</t>
  </si>
  <si>
    <t>TRP</t>
  </si>
  <si>
    <t>TORNTPHARM</t>
  </si>
  <si>
    <t>TRP IS Equity</t>
  </si>
  <si>
    <t>TRP IB Equity</t>
  </si>
  <si>
    <t>TRP IN Equity</t>
  </si>
  <si>
    <t>TRP=U5 IS</t>
  </si>
  <si>
    <t>TRP=V5 IS</t>
  </si>
  <si>
    <t>TRP=X5 IS</t>
  </si>
  <si>
    <t>TTAN</t>
  </si>
  <si>
    <t>TITAN</t>
  </si>
  <si>
    <t>TTAN IS Equity</t>
  </si>
  <si>
    <t>TTAN IB Equity</t>
  </si>
  <si>
    <t>TTAN IN Equity</t>
  </si>
  <si>
    <t>TTAN=U5 IS</t>
  </si>
  <si>
    <t>TTAN=V5 IS</t>
  </si>
  <si>
    <t>TTAN=X5 IS</t>
  </si>
  <si>
    <t>TTMT</t>
  </si>
  <si>
    <t>TATAMOTORS</t>
  </si>
  <si>
    <t>TTMT IS Equity</t>
  </si>
  <si>
    <t>TTMT IB Equity</t>
  </si>
  <si>
    <t>TTMT IN Equity</t>
  </si>
  <si>
    <t>TTMT=U5 IS</t>
  </si>
  <si>
    <t>TTMT=V5 IS</t>
  </si>
  <si>
    <t>TTMT=X5 IS</t>
  </si>
  <si>
    <t>TVSL</t>
  </si>
  <si>
    <t>TVSMOTOR</t>
  </si>
  <si>
    <t>TVSL IS Equity</t>
  </si>
  <si>
    <t>TVSL IB Equity</t>
  </si>
  <si>
    <t>TVSL IN Equity</t>
  </si>
  <si>
    <t>TVSL=U5 IS</t>
  </si>
  <si>
    <t>TVSL=V5 IS</t>
  </si>
  <si>
    <t>TVSL=X5 IS</t>
  </si>
  <si>
    <t>UNBK</t>
  </si>
  <si>
    <t>UNIONBANK</t>
  </si>
  <si>
    <t>UNBK IS Equity</t>
  </si>
  <si>
    <t>UNBK IB Equity</t>
  </si>
  <si>
    <t>UNBK IN Equity</t>
  </si>
  <si>
    <t>UNBK=U5 IS</t>
  </si>
  <si>
    <t>UNBK=V5 IS</t>
  </si>
  <si>
    <t>UNBK=X5 IS</t>
  </si>
  <si>
    <t>UNITDSPR</t>
  </si>
  <si>
    <t>UNITDSPR IS Equity</t>
  </si>
  <si>
    <t>UNITDSPR IB Equity</t>
  </si>
  <si>
    <t>UNITDSPR IN Equity</t>
  </si>
  <si>
    <t>UNITD=U5 IS</t>
  </si>
  <si>
    <t>UNITD=V5 IS</t>
  </si>
  <si>
    <t>UNITD=X5 IS</t>
  </si>
  <si>
    <t>UNOMINDA</t>
  </si>
  <si>
    <t>UNOMINDA IS Equity</t>
  </si>
  <si>
    <t>UNOMINDA IB Equity</t>
  </si>
  <si>
    <t>UNOMINDA IN Equity</t>
  </si>
  <si>
    <t>UNOMI=U5 IS</t>
  </si>
  <si>
    <t>UNOMI=V5 IS</t>
  </si>
  <si>
    <t>UNOMI=X5 IS</t>
  </si>
  <si>
    <t>UPLL</t>
  </si>
  <si>
    <t>UPL</t>
  </si>
  <si>
    <t>UPLL IS Equity</t>
  </si>
  <si>
    <t>UPLL IB Equity</t>
  </si>
  <si>
    <t>UPLL IN Equity</t>
  </si>
  <si>
    <t>UPLL=U5 IS</t>
  </si>
  <si>
    <t>UPLL=V5 IS</t>
  </si>
  <si>
    <t>UPLL=X5 IS</t>
  </si>
  <si>
    <t>UTCEM</t>
  </si>
  <si>
    <t>ULTRACEMCO</t>
  </si>
  <si>
    <t>UTCEM IS Equity</t>
  </si>
  <si>
    <t>UTCEM IB Equity</t>
  </si>
  <si>
    <t>UTCEM IN Equity</t>
  </si>
  <si>
    <t>UTCEM=U5 IS</t>
  </si>
  <si>
    <t>UTCEM=V5 IS</t>
  </si>
  <si>
    <t>UTCEM=X5 IS</t>
  </si>
  <si>
    <t>VBL</t>
  </si>
  <si>
    <t>VBL IS Equity</t>
  </si>
  <si>
    <t>VBL IB Equity</t>
  </si>
  <si>
    <t>VBL IN Equity</t>
  </si>
  <si>
    <t>VBL=U5 IS</t>
  </si>
  <si>
    <t>VBL=V5 IS</t>
  </si>
  <si>
    <t>VBL=X5 IS</t>
  </si>
  <si>
    <t>VEDL</t>
  </si>
  <si>
    <t>VEDL IS Equity</t>
  </si>
  <si>
    <t>VEDL IB Equity</t>
  </si>
  <si>
    <t>VEDL IN Equity</t>
  </si>
  <si>
    <t>VEDL=U5 IS</t>
  </si>
  <si>
    <t>VEDL=V5 IS</t>
  </si>
  <si>
    <t>VEDL=X5 IS</t>
  </si>
  <si>
    <t>VOLT</t>
  </si>
  <si>
    <t>VOLTAS</t>
  </si>
  <si>
    <t>VOLT IS Equity</t>
  </si>
  <si>
    <t>VOLT IB Equity</t>
  </si>
  <si>
    <t>VOLT IN Equity</t>
  </si>
  <si>
    <t>VOLT=U5 IS</t>
  </si>
  <si>
    <t>VOLT=V5 IS</t>
  </si>
  <si>
    <t>VOLT=X5 IS</t>
  </si>
  <si>
    <t>WPRO</t>
  </si>
  <si>
    <t>WIPRO</t>
  </si>
  <si>
    <t>WPRO IS Equity</t>
  </si>
  <si>
    <t>WPRO IB Equity</t>
  </si>
  <si>
    <t>WPRO IN Equity</t>
  </si>
  <si>
    <t>WPRO=U5 IS</t>
  </si>
  <si>
    <t>WPRO=V5 IS</t>
  </si>
  <si>
    <t>WPRO=X5 IS</t>
  </si>
  <si>
    <t>YES</t>
  </si>
  <si>
    <t>YESBANK</t>
  </si>
  <si>
    <t>YES IS Equity</t>
  </si>
  <si>
    <t>YES IB Equity</t>
  </si>
  <si>
    <t>YES IN Equity</t>
  </si>
  <si>
    <t>YES=U5 IS</t>
  </si>
  <si>
    <t>YES=V5 IS</t>
  </si>
  <si>
    <t>YES=X5 IS</t>
  </si>
  <si>
    <t>ZYDUSLIF</t>
  </si>
  <si>
    <t>ZYDUSLIFE</t>
  </si>
  <si>
    <t>ZYDUSLIF IS Equity</t>
  </si>
  <si>
    <t>ZYDUSLIF IB Equity</t>
  </si>
  <si>
    <t>ZYDUSLIF IN Equity</t>
  </si>
  <si>
    <t>ZYDUS=U5 IS</t>
  </si>
  <si>
    <t>ZYDUS=V5 IS</t>
  </si>
  <si>
    <t>ZYDUS=X5 IS</t>
  </si>
  <si>
    <t>TTCH</t>
  </si>
  <si>
    <t>TATACHEM</t>
  </si>
  <si>
    <t>TTCH IS Equity</t>
  </si>
  <si>
    <t>TTCH IB Equity</t>
  </si>
  <si>
    <t>TTCH IN Equity</t>
  </si>
  <si>
    <t>TTCH=U5 IS</t>
  </si>
  <si>
    <t>Account</t>
  </si>
  <si>
    <t>Security</t>
  </si>
  <si>
    <t>Price</t>
  </si>
  <si>
    <t>Side</t>
  </si>
  <si>
    <t>Quantity</t>
  </si>
  <si>
    <t>Broker</t>
  </si>
  <si>
    <t>Reason</t>
  </si>
  <si>
    <t>Long Note 1</t>
  </si>
  <si>
    <t>Parent ticker</t>
  </si>
  <si>
    <t>remaning quantity</t>
  </si>
  <si>
    <t>reason</t>
  </si>
  <si>
    <t>price</t>
  </si>
  <si>
    <t>note</t>
  </si>
  <si>
    <t>ARBITRAG</t>
  </si>
  <si>
    <t>S</t>
  </si>
  <si>
    <t>ICICISEC</t>
  </si>
  <si>
    <t>2</t>
  </si>
  <si>
    <t>-</t>
  </si>
  <si>
    <t>APNT=Q5 IS EQUITY</t>
  </si>
  <si>
    <t>C</t>
  </si>
  <si>
    <t>+</t>
  </si>
  <si>
    <t>RA</t>
  </si>
  <si>
    <t>BJFIN=Q5 IS EQUITY</t>
  </si>
  <si>
    <t>-11</t>
  </si>
  <si>
    <t>DLFU=Q5 IS EQUITY</t>
  </si>
  <si>
    <t>-14</t>
  </si>
  <si>
    <t>ETERN=Q5 IS EQUITY</t>
  </si>
  <si>
    <t>-15</t>
  </si>
  <si>
    <t>HCLT=Q5 IS EQUITY</t>
  </si>
  <si>
    <t>-16</t>
  </si>
  <si>
    <t>KALYA=Q5 IS EQUITY</t>
  </si>
  <si>
    <t>LAURUS=Q5 IS EQUITY</t>
  </si>
  <si>
    <t>-17</t>
  </si>
  <si>
    <t>LT=Q5 IS EQUITY</t>
  </si>
  <si>
    <t>-13</t>
  </si>
  <si>
    <t>MM=Q5 IS EQUITY</t>
  </si>
  <si>
    <t>PGEL=Q5 IS EQUITY</t>
  </si>
  <si>
    <t>-9</t>
  </si>
  <si>
    <t>PI=Q5 IS EQUITY</t>
  </si>
  <si>
    <t>-2</t>
  </si>
  <si>
    <t>PIDI=Q5 IS EQUITY</t>
  </si>
  <si>
    <t>-17 DVD 10.00</t>
  </si>
  <si>
    <t>POLYC=Q5 IS EQUITY</t>
  </si>
  <si>
    <t>SRF=Q5 IS EQUITY</t>
  </si>
  <si>
    <t>SUEL=Q5 IS EQUITY</t>
  </si>
  <si>
    <t>SUNP=Q5 IS EQUITY</t>
  </si>
  <si>
    <t>-12</t>
  </si>
  <si>
    <t>TITAG=Q5 IS EQUITY</t>
  </si>
  <si>
    <t>-3 DVD 01.00</t>
  </si>
  <si>
    <t>UTCEM=Q5 IS EQUITY</t>
  </si>
  <si>
    <t>APAT IS EQUITY</t>
  </si>
  <si>
    <t>B</t>
  </si>
  <si>
    <t>KOTAKSEC</t>
  </si>
  <si>
    <t>APAT=Q5 IS EQUITY</t>
  </si>
  <si>
    <t>H</t>
  </si>
  <si>
    <t>0.23, 5.75 INR DVD</t>
  </si>
  <si>
    <t>BHFC IS EQUITY</t>
  </si>
  <si>
    <t>BHFC=Q5 IS EQUITY</t>
  </si>
  <si>
    <t>CLGT IS EQUITY</t>
  </si>
  <si>
    <t>CLGT=Q5 IS EQUITY</t>
  </si>
  <si>
    <t>CROMPTON IS EQUITY</t>
  </si>
  <si>
    <t>CROMP=Q5 IS EQUITY</t>
  </si>
  <si>
    <t>KKC IS EQUITY</t>
  </si>
  <si>
    <t>KKC=Q5 IS EQUITY</t>
  </si>
  <si>
    <t>EIM IS EQUITY</t>
  </si>
  <si>
    <t>EIM=Q5 IS EQUITY</t>
  </si>
  <si>
    <t>FB IS EQUITY</t>
  </si>
  <si>
    <t>FB=Q5 IS EQUITY</t>
  </si>
  <si>
    <t>-22.42, 1.2 INR DVD</t>
  </si>
  <si>
    <t>GAIL IS EQUITY</t>
  </si>
  <si>
    <t>GAIL=Q5 IS EQUITY</t>
  </si>
  <si>
    <t>GPL IS EQUITY</t>
  </si>
  <si>
    <t>GPL=Q5 IS EQUITY</t>
  </si>
  <si>
    <t>HNDL IS EQUITY</t>
  </si>
  <si>
    <t>HNDL=Q5 IS EQUITY</t>
  </si>
  <si>
    <t>360ONE IS EQUITY</t>
  </si>
  <si>
    <t>360ON=Q5 IS EQUITY</t>
  </si>
  <si>
    <t>JSP IS EQUITY</t>
  </si>
  <si>
    <t>JSP=Q5 IS EQUITY</t>
  </si>
  <si>
    <t>23.2, 2 INR DVD</t>
  </si>
  <si>
    <t>JUBI IS EQUITY</t>
  </si>
  <si>
    <t>JUBI=Q5 IS EQUITY</t>
  </si>
  <si>
    <t>LODHA IS EQUITY</t>
  </si>
  <si>
    <t>LODHA=Q5 IS EQUITY</t>
  </si>
  <si>
    <t>10.59, 4.25 INR DVD</t>
  </si>
  <si>
    <t>INFOE IS EQUITY</t>
  </si>
  <si>
    <t>INFOE=Q5 IS EQUITY</t>
  </si>
  <si>
    <t>NMDC IS EQUITY</t>
  </si>
  <si>
    <t>NMDC=Q5 IS EQUITY</t>
  </si>
  <si>
    <t>-105.78, 1 INR DVD</t>
  </si>
  <si>
    <t>POWF IS EQUITY</t>
  </si>
  <si>
    <t>POWF=Q5 IS EQUITY</t>
  </si>
  <si>
    <t>-49.24, 3.70 INR DVD</t>
  </si>
  <si>
    <t>SRCM IS EQUITY</t>
  </si>
  <si>
    <t>SRCM=Q5 IS EQUITY</t>
  </si>
  <si>
    <t>SHFL IS EQUITY</t>
  </si>
  <si>
    <t>SHFL=Q5 IS EQUITY</t>
  </si>
  <si>
    <t>TTMT IS EQUITY</t>
  </si>
  <si>
    <t>TTMT=Q5 IS EQUITY</t>
  </si>
  <si>
    <t>TCS IS EQUITY</t>
  </si>
  <si>
    <t>TCS=Q5 IS EQUITY</t>
  </si>
  <si>
    <t>APNT IS EQUITY</t>
  </si>
  <si>
    <t>HCLT IS EQUITY</t>
  </si>
  <si>
    <t>KALYANKJ IS EQUITY</t>
  </si>
  <si>
    <t>MM IS EQUITY</t>
  </si>
  <si>
    <t>PGEL IS EQUITY</t>
  </si>
  <si>
    <t>POLYCAB IS EQUITY</t>
  </si>
  <si>
    <t>SUEL IS EQUITY</t>
  </si>
  <si>
    <t>UTCEM IS EQUITY</t>
  </si>
  <si>
    <t>target</t>
  </si>
  <si>
    <t>tr code</t>
  </si>
  <si>
    <t>Rate</t>
  </si>
  <si>
    <t>Amount</t>
  </si>
  <si>
    <t>=F10/D10</t>
  </si>
  <si>
    <t>BrokerMaster_Table</t>
  </si>
  <si>
    <t xml:space="preserve">Broker_ID </t>
  </si>
  <si>
    <t>Added date</t>
  </si>
  <si>
    <t>UserMaster_Table</t>
  </si>
  <si>
    <t xml:space="preserve">User_ID </t>
  </si>
  <si>
    <t>Username</t>
  </si>
  <si>
    <t>Email</t>
  </si>
  <si>
    <t>RoleID</t>
  </si>
  <si>
    <t>IsActive</t>
  </si>
  <si>
    <t>Created_By</t>
  </si>
  <si>
    <t>Created_Date</t>
  </si>
  <si>
    <t>Full_Acess</t>
  </si>
  <si>
    <t>Nadeem Nakade</t>
  </si>
  <si>
    <t>nadeem.nakade@cylsys.com</t>
  </si>
  <si>
    <t>---</t>
  </si>
  <si>
    <t>Lokesh Kulthia</t>
  </si>
  <si>
    <t>lokesh.kulthia@uti.co.in</t>
  </si>
  <si>
    <t>Smita Joshi</t>
  </si>
  <si>
    <t>smita.joshi@uti.co.in</t>
  </si>
  <si>
    <t>Anshu Khare</t>
  </si>
  <si>
    <t>Anshu.Khare@cylsys.com</t>
  </si>
  <si>
    <t>WeightedSpread</t>
  </si>
  <si>
    <t>ClientMaster table</t>
  </si>
  <si>
    <t xml:space="preserve">Client_ID </t>
  </si>
  <si>
    <t>ClientName</t>
  </si>
  <si>
    <t>Acount</t>
  </si>
  <si>
    <t>Sequrity</t>
  </si>
  <si>
    <t>Role_Master</t>
  </si>
  <si>
    <t>ABC123</t>
  </si>
  <si>
    <t>TCS=G0 IS EQUITY</t>
  </si>
  <si>
    <t>ANGLE-ONE</t>
  </si>
  <si>
    <t>Id</t>
  </si>
  <si>
    <t>Name</t>
  </si>
  <si>
    <t>Code</t>
  </si>
  <si>
    <t>Created_by</t>
  </si>
  <si>
    <t>Created_date</t>
  </si>
  <si>
    <t>Modify_by</t>
  </si>
  <si>
    <t>Modify_date</t>
  </si>
  <si>
    <t>Is_active</t>
  </si>
  <si>
    <t>MNO123</t>
  </si>
  <si>
    <t>INFO IS EQUITY</t>
  </si>
  <si>
    <t>GROWSEC</t>
  </si>
  <si>
    <t>Admin</t>
  </si>
  <si>
    <t>#ADMIN#</t>
  </si>
  <si>
    <t>XYZ123</t>
  </si>
  <si>
    <t>INFO=H0 IS EQUITY</t>
  </si>
  <si>
    <t>Analyst</t>
  </si>
  <si>
    <t>#Analyst</t>
  </si>
  <si>
    <t>A1B2C3</t>
  </si>
  <si>
    <t>NOVAM IS EQUITY</t>
  </si>
  <si>
    <t>Auditor</t>
  </si>
  <si>
    <t>#Auditor</t>
  </si>
  <si>
    <t>Ticker_Mapping_Table</t>
  </si>
  <si>
    <t>menu_master</t>
  </si>
  <si>
    <t>Ticker_ID</t>
  </si>
  <si>
    <t>Ticker_Symbol</t>
  </si>
  <si>
    <t>Instrument_Type</t>
  </si>
  <si>
    <t>Lot_Size (Quantity)</t>
  </si>
  <si>
    <t>Active_Flag</t>
  </si>
  <si>
    <t>CreatedAt</t>
  </si>
  <si>
    <t>id</t>
  </si>
  <si>
    <t>link</t>
  </si>
  <si>
    <t>title</t>
  </si>
  <si>
    <t>is_active</t>
  </si>
  <si>
    <t>created_by</t>
  </si>
  <si>
    <t>created_date</t>
  </si>
  <si>
    <t>modify_by</t>
  </si>
  <si>
    <t>modify_date</t>
  </si>
  <si>
    <t>Future</t>
  </si>
  <si>
    <t>/Scheme</t>
  </si>
  <si>
    <t>Scheme Master</t>
  </si>
  <si>
    <t>Cash</t>
  </si>
  <si>
    <t>/Employee</t>
  </si>
  <si>
    <t>Employee Master</t>
  </si>
  <si>
    <t>RELIANCE=M5 IS EQUITY</t>
  </si>
  <si>
    <t>/EmpSchmMapping</t>
  </si>
  <si>
    <t>Emp Schm Mapping</t>
  </si>
  <si>
    <t>RELIANCE IS EQUITY</t>
  </si>
  <si>
    <t>/AUM_Upload</t>
  </si>
  <si>
    <t>Upload AUM</t>
  </si>
  <si>
    <t>Cash_Trades</t>
  </si>
  <si>
    <t>Role_Menu_Mapping</t>
  </si>
  <si>
    <t>Cash_ID</t>
  </si>
  <si>
    <t>Trade_Date</t>
  </si>
  <si>
    <t>Transaction code</t>
  </si>
  <si>
    <t>Broker_ID</t>
  </si>
  <si>
    <t>Adjusted_Qty</t>
  </si>
  <si>
    <t>Raw_Notes</t>
  </si>
  <si>
    <t>role_id</t>
  </si>
  <si>
    <t>menu_id</t>
  </si>
  <si>
    <t>modfiy_by</t>
  </si>
  <si>
    <t>30 bps</t>
  </si>
  <si>
    <t>2 bps</t>
  </si>
  <si>
    <t>Future_Trades</t>
  </si>
  <si>
    <t>Future_ID</t>
  </si>
  <si>
    <t>Lot_Size</t>
  </si>
  <si>
    <t>50 bps / 0.55 dvd</t>
  </si>
  <si>
    <t>Match_Results Table</t>
  </si>
  <si>
    <t>Match_ID</t>
  </si>
  <si>
    <t>Cash_Trade_ID</t>
  </si>
  <si>
    <t>Futures_Trade_ID</t>
  </si>
  <si>
    <t>Transaction_Type</t>
  </si>
  <si>
    <t>Spread</t>
  </si>
  <si>
    <t>Match_Status</t>
  </si>
  <si>
    <t>Match_Run_Date</t>
  </si>
  <si>
    <t>Unmatched Trade Handling </t>
  </si>
  <si>
    <t>FA</t>
  </si>
  <si>
    <t>Matched</t>
  </si>
  <si>
    <t>Direction Mismatch</t>
  </si>
  <si>
    <t>NULL</t>
  </si>
  <si>
    <t>Unmatched</t>
  </si>
  <si>
    <t>Quantity Mismatch</t>
  </si>
  <si>
    <t>SR</t>
  </si>
  <si>
    <t>SequrityMaster Table</t>
  </si>
  <si>
    <t>Seq_Id</t>
  </si>
  <si>
    <t xml:space="preserve">Lot Size </t>
  </si>
  <si>
    <t>Lot price</t>
  </si>
  <si>
    <t>Create_Date</t>
  </si>
  <si>
    <t xml:space="preserve"> </t>
  </si>
  <si>
    <t>Security_Code</t>
  </si>
  <si>
    <t>Security_Name</t>
  </si>
  <si>
    <t>Lot_Price</t>
  </si>
  <si>
    <t>Lot</t>
  </si>
  <si>
    <t>Row 1 – APNT IS Equity (Cash)</t>
  </si>
  <si>
    <t xml:space="preserve">APNT </t>
  </si>
  <si>
    <t> </t>
  </si>
  <si>
    <r>
      <rPr>
        <b/>
        <sz val="11"/>
        <color rgb="FF000000"/>
        <rFont val="Aptos Narrow"/>
        <scheme val="minor"/>
      </rPr>
      <t>Broker File Upload</t>
    </r>
    <r>
      <rPr>
        <sz val="11"/>
        <color rgb="FF000000"/>
        <rFont val="Aptos Narrow"/>
        <scheme val="minor"/>
      </rPr>
      <t>  →  Read Trade Rows  →  Validate Ticker  </t>
    </r>
  </si>
  <si>
    <t>APNT=Q5</t>
  </si>
  <si>
    <t>Account → ARBITRAG → Client Master me ✅</t>
  </si>
  <si>
    <t>                                     →  Lookup Mapping  </t>
  </si>
  <si>
    <t> Security → APNT IS Equity → Security Master me ✅</t>
  </si>
  <si>
    <t>                                     →  Check Holdings  </t>
  </si>
  <si>
    <t>Lot → 1 → Cash trade, adjusted quantity = 1000 × 1 = 1000 ✅</t>
  </si>
  <si>
    <t>                                     →  Validate Quantity  </t>
  </si>
  <si>
    <t>Holdings → Client has 1000 → enough ✅</t>
  </si>
  <si>
    <t>                                      →  Validate Direction  </t>
  </si>
  <si>
    <t>Side → S (Sell) → validation possible ✅</t>
  </si>
  <si>
    <t>                                      →  Validate Price  </t>
  </si>
  <si>
    <t>Mapping → As it is cash, mapping only used for matching with future → check next row</t>
  </si>
  <si>
    <t>                                      →  Save Result / Report</t>
  </si>
  <si>
    <t>Broker Master</t>
  </si>
  <si>
    <t>Conclusion → Row valid ✅</t>
  </si>
  <si>
    <t>✅ Row 2 – APNT=Q5 IS EQUITY (Future)</t>
  </si>
  <si>
    <t xml:space="preserve">Client master </t>
  </si>
  <si>
    <t>Holdings</t>
  </si>
  <si>
    <t>Security → APNT=Q5 IS EQUITY → Security Master me ✅</t>
  </si>
  <si>
    <t>Lot → 500 → Future trade, adjusted quantity = 4 × 500 = 2000 ✅</t>
  </si>
  <si>
    <t>Future = APNT=Q5 IS EQUITY → mapped to APNT IS Equity ✅</t>
  </si>
  <si>
    <t>Cash Holding → Client holding in APNT IS Equity = 1000 → ❌</t>
  </si>
  <si>
    <t>→ Adjusted quantity = 2000</t>
  </si>
  <si>
    <t>→ Holdings = 1000 → insufficient ❌</t>
  </si>
  <si>
    <t>CREATE PROCEDURE ProcessBrokerSecurities</t>
  </si>
  <si>
    <t>Direction Check → Side = C → Buy → Future buy ok ✅</t>
  </si>
  <si>
    <t>AS</t>
  </si>
  <si>
    <t>Conclusion → ❌ Quantity mismatch → mapping failed</t>
  </si>
  <si>
    <t>BEGIN</t>
  </si>
  <si>
    <t>    SET NOCOUNT ON;</t>
  </si>
  <si>
    <t>    -- Step 1: Insert matching securities into TempTicker</t>
  </si>
  <si>
    <t>    INSERT INTO tbl_TempTicker</t>
  </si>
  <si>
    <t>    (</t>
  </si>
  <si>
    <t>        BrokerId,</t>
  </si>
  <si>
    <t>        SecurityId,</t>
  </si>
  <si>
    <t>        BrokerSecurity,</t>
  </si>
  <si>
    <t xml:space="preserve">        ParentTicker,Quantity </t>
  </si>
  <si>
    <t>        ProcessDate,</t>
  </si>
  <si>
    <t>        Comment</t>
  </si>
  <si>
    <t>    )</t>
  </si>
  <si>
    <t>    SELECT  </t>
  </si>
  <si>
    <t>        b.Id,</t>
  </si>
  <si>
    <t>        s.Id,</t>
  </si>
  <si>
    <t>        b.Security,</t>
  </si>
  <si>
    <t>CREATE TABLE tbl_TempTicker</t>
  </si>
  <si>
    <t>        s.[Common Ticker], b.quantity</t>
  </si>
  <si>
    <t>(</t>
  </si>
  <si>
    <t>        GETDATE(),</t>
  </si>
  <si>
    <t>    Id INT IDENTITY(1,1) PRIMARY KEY,</t>
  </si>
  <si>
    <t>        'Inserted from ProcessBrokerSecurities'</t>
  </si>
  <si>
    <t>    BrokerId INT NOT NULL,</t>
  </si>
  <si>
    <t>    FROM BrokerFile b</t>
  </si>
  <si>
    <t>    SecurityId INT NOT NULL,</t>
  </si>
  <si>
    <t>    INNER JOIN SecurityMaster s</t>
  </si>
  <si>
    <t>    BrokerSecurity NVARCHAR(250),</t>
  </si>
  <si>
    <t>        ON  b.Security = s.[NSE Ticker]</t>
  </si>
  <si>
    <t>    ParentTicker NVARCHAR(250),</t>
  </si>
  <si>
    <t>        OR  b.Security = s.[BSE Ticker]</t>
  </si>
  <si>
    <t>    Quantity INT,QuantityMatching nvarchar(255)</t>
  </si>
  <si>
    <t>        OR  b.Security = s.[Common Ticker]</t>
  </si>
  <si>
    <t>    Price NVARCHAR(250),</t>
  </si>
  <si>
    <t>        OR  b.Security = s.[Current Month BBG]</t>
  </si>
  <si>
    <t>    TotalPrice NVARCHAR(100),</t>
  </si>
  <si>
    <t>        OR  b.Security = s.[Next Month BBG]</t>
  </si>
  <si>
    <t>    ProcessDate DATETIME DEFAULT GETDATE(),</t>
  </si>
  <si>
    <t>        OR  b.Security = s.[Far Month BBG];</t>
  </si>
  <si>
    <t>    Comment NVARCHAR(255) NULL</t>
  </si>
  <si>
    <t>);</t>
  </si>
  <si>
    <t>    -- Step 2: Update QuantityMatch and TotalPrice</t>
  </si>
  <si>
    <t>    UPDATE t</t>
  </si>
  <si>
    <t>    SET</t>
  </si>
  <si>
    <t>        t.Quantity= CASE</t>
  </si>
  <si>
    <t>            WHEN b.Security = s.[Current Month BBG] THEN THEN b.Quantity * s.[Currnt Month Lot size]</t>
  </si>
  <si>
    <t>            WHEN b.Security = s.[Next Month BBG]   THEN b.Quantity * s.[Next Month Lot size]</t>
  </si>
  <si>
    <t>            WHEN b.Security = s.[Far Month BBG]     THEN b.Quantity * s.[FarMonth Lot size]</t>
  </si>
  <si>
    <t>        END,</t>
  </si>
  <si>
    <t>        </t>
  </si>
  <si>
    <t>        t.TotalPrice = CASE</t>
  </si>
  <si>
    <t>            WHEN b.Security = s.[Current Month BBG] THEN b.Quantity * b.Price * s.[Current Month Lot size]</t>
  </si>
  <si>
    <t>            WHEN b.Security = s.[Next Month BBG]   THEN b.Quantity * b.Price * s.[Next Month Lot size]</t>
  </si>
  <si>
    <t>            WHEN b.Security = s.[Far Month BBG]    THEN b.Quantity * b.Price * s.[Far Month Lot size]</t>
  </si>
  <si>
    <t>            ELSE b.Quantity * b.Price * 1</t>
  </si>
  <si>
    <t>        END</t>
  </si>
  <si>
    <t>    FROM tbl_TempTickert</t>
  </si>
  <si>
    <t>INNER JOIN BrokerFile b ON t.BrokerSecurity = b.Security</t>
  </si>
  <si>
    <t>    INNER JOIN SecurityMaster s ON t.ParentTicker = s.[Common Ticker];</t>
  </si>
  <si>
    <t>    -- Step 3: Match Cash and Future quantity</t>
  </si>
  <si>
    <t>        t.QuantityMatching = CASE</t>
  </si>
  <si>
    <t>    PRINT 'Process completed successfully!';</t>
  </si>
  <si>
    <t>END;</t>
  </si>
  <si>
    <t>bloom cde</t>
  </si>
  <si>
    <t>Roll</t>
  </si>
  <si>
    <t>phillip</t>
  </si>
  <si>
    <t>BANDH=J5 IS EQUITY</t>
  </si>
  <si>
    <t>BRIT=J5 IS EQUITY</t>
  </si>
  <si>
    <t>BSOFT=J5 IS EQUITY</t>
  </si>
  <si>
    <t>DABUR=J5 IS EQUITY</t>
  </si>
  <si>
    <t>EXID=J5 IS EQUITY</t>
  </si>
  <si>
    <t>INFO=J5 IS EQUITY</t>
  </si>
  <si>
    <t>LAURU=J5 IS EQUITY</t>
  </si>
  <si>
    <t>SBIN=J5 IS EQUITY</t>
  </si>
  <si>
    <t>TCS=J5 IS EQUITY</t>
  </si>
  <si>
    <t>ZYDUS=J5 IS EQUITY</t>
  </si>
  <si>
    <t>BATLIVALA</t>
  </si>
  <si>
    <t>ABB IS EQUITY</t>
  </si>
  <si>
    <t>ABCAP IS EQUITY</t>
  </si>
  <si>
    <t>ABFRL IS EQUITY</t>
  </si>
  <si>
    <t>ACC IS EQUITY</t>
  </si>
  <si>
    <t>ACEM IS EQUITY</t>
  </si>
  <si>
    <t>ADANIENS IS EQUITY</t>
  </si>
  <si>
    <t>ADANIGR IS EQUITY</t>
  </si>
  <si>
    <t>ADE IS EQUITY</t>
  </si>
  <si>
    <t>ADSEZ IS EQUITY</t>
  </si>
  <si>
    <t>APHS IS EQUITY</t>
  </si>
  <si>
    <t>APTY IS EQUITY</t>
  </si>
  <si>
    <t>step-1</t>
  </si>
  <si>
    <t>Identify cash and future ticker</t>
  </si>
  <si>
    <t xml:space="preserve">future ticker </t>
  </si>
  <si>
    <t>Should contain “=” in the name</t>
  </si>
  <si>
    <t>Transaction code allowed “C” or “H”, were, 1. C = Buy 2.H = Sell</t>
  </si>
  <si>
    <t>cash ticker</t>
  </si>
  <si>
    <t>Will be in either of the three formats 1. IN Equity 2 IS Equity 3.IB Equity</t>
  </si>
  <si>
    <t>Transaction code allowed “B” or “S”, were,  B = Buy  S = Sell</t>
  </si>
  <si>
    <t>step-2</t>
  </si>
  <si>
    <t>Update Quantity</t>
  </si>
  <si>
    <t>quantity = quantity(in future) * lot size</t>
  </si>
  <si>
    <t xml:space="preserve">Quantity = Quantity * 1 </t>
  </si>
  <si>
    <t>step-3</t>
  </si>
  <si>
    <t>Total Price trade value</t>
  </si>
  <si>
    <t>TotalPrice = Price * Quantity</t>
  </si>
  <si>
    <t>step-4</t>
  </si>
  <si>
    <t>Quantity Matching</t>
  </si>
  <si>
    <t xml:space="preserve">t1.Quantity &gt; t2.Quantity or  t1.Quantity &lt; t2.Quantity </t>
  </si>
  <si>
    <t>and t2.Instrument_Type = 'CASH Ticker' THEN 'Quantity Mismatched'</t>
  </si>
  <si>
    <t>step-5</t>
  </si>
  <si>
    <t>Transaction Type</t>
  </si>
  <si>
    <t>FA: Cash=B, Future=H</t>
  </si>
  <si>
    <t>RA / UW: Cash=S, Future=C</t>
  </si>
  <si>
    <t>SR: CM Futures=Buy (C), NM Futures=Sell (H)</t>
  </si>
  <si>
    <t xml:space="preserve"> LR: CM Futures=Sell (H), NM Futures=Buy (C)</t>
  </si>
  <si>
    <t xml:space="preserve">step-6 </t>
  </si>
  <si>
    <t>TickerLongNote</t>
  </si>
  <si>
    <t>.TickerLongNote = ((cash.TotalPrice / fut.TotalPrice) - 1)</t>
  </si>
  <si>
    <t>step-7</t>
  </si>
  <si>
    <t>WeightedSpread = buy(totalprice) * longNote</t>
  </si>
  <si>
    <t>step-8</t>
  </si>
  <si>
    <t>Calculate total spread and total price per broker</t>
  </si>
  <si>
    <t>spread = total weighted spred / total price of buy(cash + future)</t>
  </si>
  <si>
    <t>step-9</t>
  </si>
  <si>
    <t>Holding checks</t>
  </si>
  <si>
    <t>HoldingsCheck = Quantity (Broker) ≤ Available Holdings (Client)</t>
  </si>
  <si>
    <t>fill -&gt;'Holdings Available' &amp; 'Insufficient Holdings'</t>
  </si>
  <si>
    <t>Equity Holdings</t>
  </si>
  <si>
    <t>Display Name</t>
  </si>
  <si>
    <t>Issuer</t>
  </si>
  <si>
    <t>Position</t>
  </si>
  <si>
    <t>Saleable</t>
  </si>
  <si>
    <t>Underlying Equivalent Position</t>
  </si>
  <si>
    <t>Industry Sector</t>
  </si>
  <si>
    <t>Previous EOD Pr</t>
  </si>
  <si>
    <t>PreviousDay_Futures</t>
  </si>
  <si>
    <t>Cum Avg Cost</t>
  </si>
  <si>
    <t>Security Description</t>
  </si>
  <si>
    <t>Asset Type</t>
  </si>
  <si>
    <t>Gross Exp/NAV</t>
  </si>
  <si>
    <t>Industry</t>
  </si>
  <si>
    <t>A:Cost Local</t>
  </si>
  <si>
    <t>Change</t>
  </si>
  <si>
    <t>Accrued Interest</t>
  </si>
  <si>
    <t>Total P&amp;L</t>
  </si>
  <si>
    <t>Gross MV</t>
  </si>
  <si>
    <t>ISIN</t>
  </si>
  <si>
    <t>ACCRINT</t>
  </si>
  <si>
    <t>Parent Company Name</t>
  </si>
  <si>
    <t>Account Name</t>
  </si>
  <si>
    <t>Cusip</t>
  </si>
  <si>
    <t>Previous_Day_Perc</t>
  </si>
  <si>
    <t>Is Closed</t>
  </si>
  <si>
    <t>ABCAP IN</t>
  </si>
  <si>
    <t>Aditya Birla Capital Ltd</t>
  </si>
  <si>
    <t>Financial</t>
  </si>
  <si>
    <t>Equity</t>
  </si>
  <si>
    <t>Life/Health Insurance</t>
  </si>
  <si>
    <t>INE674K01013</t>
  </si>
  <si>
    <t>Grasim Industries Ltd</t>
  </si>
  <si>
    <t>209- ARBITRAGE FUND</t>
  </si>
  <si>
    <t>N.A.</t>
  </si>
  <si>
    <t>ACEM IN</t>
  </si>
  <si>
    <t>Ambuja Cements Ltd</t>
  </si>
  <si>
    <t>Industrial</t>
  </si>
  <si>
    <t>Bldg Prod-Cement/Aggreg</t>
  </si>
  <si>
    <t>INE079A01024</t>
  </si>
  <si>
    <t>Adani Enterprises Ltd</t>
  </si>
  <si>
    <t>ADANIENS IN</t>
  </si>
  <si>
    <t>Adani Energy Solutions Ltd</t>
  </si>
  <si>
    <t>Utilities</t>
  </si>
  <si>
    <t>Electric-Transmission</t>
  </si>
  <si>
    <t>INE931S01010</t>
  </si>
  <si>
    <t>ADE IN</t>
  </si>
  <si>
    <t>Consumer, Cyclical</t>
  </si>
  <si>
    <t>Distribution/Wholesale</t>
  </si>
  <si>
    <t>INE423A01024</t>
  </si>
  <si>
    <t>ADSEZ IN</t>
  </si>
  <si>
    <t>Adani Ports &amp; Special Economic</t>
  </si>
  <si>
    <t>Consumer, Non-cyclical</t>
  </si>
  <si>
    <t>Whsing&amp;Harbor Trans Serv</t>
  </si>
  <si>
    <t>INE742F01042</t>
  </si>
  <si>
    <t>future Holdings</t>
  </si>
  <si>
    <t>Account Code</t>
  </si>
  <si>
    <t>A:Market Value Local</t>
  </si>
  <si>
    <t>Expiration Date</t>
  </si>
  <si>
    <t>ABCAP=F6 IS</t>
  </si>
  <si>
    <t>ADITYA BIRLA CAP Jan26</t>
  </si>
  <si>
    <t>ABCAP=F6</t>
  </si>
  <si>
    <t>01/27/2026</t>
  </si>
  <si>
    <t>ACEM=F6 IS</t>
  </si>
  <si>
    <t>AMBUJA CEMENTS Jan26</t>
  </si>
  <si>
    <t>ACEM=F6</t>
  </si>
  <si>
    <t>ADSEZ=F6 IS</t>
  </si>
  <si>
    <t>Adani Ports Jan26</t>
  </si>
  <si>
    <t>ADSEZ=F6</t>
  </si>
  <si>
    <t>APAT=F6 IS</t>
  </si>
  <si>
    <t>APL APOLLO TUBES Jan26</t>
  </si>
  <si>
    <t>APAT=F6</t>
  </si>
  <si>
    <t>APL Apollo Tubes Ltd</t>
  </si>
  <si>
    <t>APHS=F6 IS</t>
  </si>
  <si>
    <t>Apollo Hosp Jan26</t>
  </si>
  <si>
    <t>APHS=F6</t>
  </si>
  <si>
    <t>Apollo Hospitals Enterprise Lt</t>
  </si>
  <si>
    <t>Final Join-&gt;</t>
  </si>
  <si>
    <t>Display Name Equity</t>
  </si>
  <si>
    <t>Display Name future</t>
  </si>
  <si>
    <t>Equity Position</t>
  </si>
  <si>
    <t>Future Position (Lots)</t>
  </si>
  <si>
    <t>Future Position</t>
  </si>
  <si>
    <t>Lots × Lot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</si>
</sst>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color indexed="16"/>
      <name val="Arial"/>
      <charset val="1"/>
    </font>
    <font>
      <sz val="10"/>
      <name val="Arial"/>
      <family val="2"/>
    </font>
    <font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0000"/>
      <name val="Arial"/>
      <charset val="1"/>
    </font>
    <font>
      <sz val="11"/>
      <color rgb="FF242424"/>
      <name val="Aptos Narrow"/>
      <charset val="1"/>
    </font>
    <font>
      <sz val="11"/>
      <color rgb="FF000000"/>
      <name val="WordVisi_MSFontService"/>
      <charset val="1"/>
    </font>
    <font>
      <b/>
      <sz val="11"/>
      <color theme="1"/>
      <name val="Calibri"/>
      <charset val="1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0"/>
      <color theme="1"/>
      <name val="Arial"/>
      <charset val="1"/>
    </font>
    <font>
      <sz val="12"/>
      <color theme="1"/>
      <name val="-Apple-System"/>
      <charset val="1"/>
    </font>
    <font>
      <sz val="11"/>
      <color theme="1"/>
      <name val="-Apple-System"/>
      <charset val="1"/>
    </font>
    <font>
      <sz val="11"/>
      <color rgb="FF000000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D3D3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rgb="FF4F81BD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1" fillId="1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2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4" fillId="0" borderId="1" xfId="0" quotePrefix="1" applyFont="1" applyBorder="1" applyAlignment="1" applyProtection="1">
      <alignment vertical="top"/>
      <protection locked="0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0" fillId="0" borderId="7" xfId="0" quotePrefix="1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2" fillId="0" borderId="0" xfId="0" applyFont="1" applyAlignment="1" applyProtection="1">
      <alignment horizontal="center" vertical="top"/>
      <protection locked="0"/>
    </xf>
    <xf numFmtId="49" fontId="3" fillId="2" borderId="1" xfId="0" applyNumberFormat="1" applyFont="1" applyFill="1" applyBorder="1" applyAlignment="1" applyProtection="1">
      <alignment horizontal="left" vertical="top"/>
      <protection locked="0"/>
    </xf>
    <xf numFmtId="49" fontId="3" fillId="2" borderId="1" xfId="0" applyNumberFormat="1" applyFont="1" applyFill="1" applyBorder="1" applyAlignment="1" applyProtection="1">
      <alignment horizontal="center" vertical="top"/>
      <protection locked="0"/>
    </xf>
    <xf numFmtId="0" fontId="5" fillId="0" borderId="0" xfId="0" applyFont="1"/>
    <xf numFmtId="0" fontId="5" fillId="0" borderId="11" xfId="0" applyFont="1" applyBorder="1"/>
    <xf numFmtId="3" fontId="5" fillId="0" borderId="0" xfId="0" applyNumberFormat="1" applyFont="1"/>
    <xf numFmtId="49" fontId="5" fillId="0" borderId="0" xfId="0" applyNumberFormat="1" applyFont="1"/>
    <xf numFmtId="0" fontId="1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14" fontId="0" fillId="0" borderId="18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24" xfId="0" applyBorder="1"/>
    <xf numFmtId="0" fontId="9" fillId="0" borderId="0" xfId="0" applyFont="1"/>
    <xf numFmtId="0" fontId="1" fillId="4" borderId="1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7" fontId="0" fillId="0" borderId="6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/>
    <xf numFmtId="0" fontId="4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49" fontId="16" fillId="4" borderId="6" xfId="0" applyNumberFormat="1" applyFont="1" applyFill="1" applyBorder="1" applyAlignment="1" applyProtection="1">
      <alignment horizontal="center" vertical="center"/>
      <protection locked="0"/>
    </xf>
    <xf numFmtId="0" fontId="16" fillId="4" borderId="6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indent="9"/>
    </xf>
    <xf numFmtId="0" fontId="17" fillId="2" borderId="0" xfId="0" applyFont="1" applyFill="1"/>
    <xf numFmtId="0" fontId="18" fillId="0" borderId="0" xfId="0" applyFont="1"/>
    <xf numFmtId="0" fontId="0" fillId="0" borderId="0" xfId="1" applyFont="1"/>
    <xf numFmtId="2" fontId="5" fillId="0" borderId="0" xfId="0" applyNumberFormat="1" applyFont="1"/>
    <xf numFmtId="2" fontId="0" fillId="0" borderId="0" xfId="0" applyNumberFormat="1"/>
    <xf numFmtId="10" fontId="2" fillId="0" borderId="0" xfId="0" applyNumberFormat="1" applyFont="1" applyAlignment="1" applyProtection="1">
      <alignment vertical="top"/>
      <protection locked="0"/>
    </xf>
    <xf numFmtId="0" fontId="2" fillId="8" borderId="1" xfId="0" applyFont="1" applyFill="1" applyBorder="1" applyAlignment="1" applyProtection="1">
      <alignment vertical="top"/>
      <protection locked="0"/>
    </xf>
    <xf numFmtId="0" fontId="4" fillId="8" borderId="1" xfId="0" applyFont="1" applyFill="1" applyBorder="1" applyAlignment="1" applyProtection="1">
      <alignment vertical="top"/>
      <protection locked="0"/>
    </xf>
    <xf numFmtId="0" fontId="19" fillId="0" borderId="0" xfId="0" applyFont="1"/>
    <xf numFmtId="0" fontId="20" fillId="9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1" fillId="10" borderId="0" xfId="2"/>
    <xf numFmtId="0" fontId="1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blp_column_header" xfId="2" xr:uid="{5AA0BD14-5708-4373-9D38-0E4BE58FA756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nshu.Khare@cylsys.com" TargetMode="External"/><Relationship Id="rId2" Type="http://schemas.openxmlformats.org/officeDocument/2006/relationships/hyperlink" Target="mailto:lokesh.kulthia@uti.co.in" TargetMode="External"/><Relationship Id="rId1" Type="http://schemas.openxmlformats.org/officeDocument/2006/relationships/hyperlink" Target="mailto:nadeem.nakade@cylsys.com" TargetMode="External"/><Relationship Id="rId4" Type="http://schemas.openxmlformats.org/officeDocument/2006/relationships/hyperlink" Target="mailto:smita.joshi@uti.co.i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b.Security" TargetMode="External"/><Relationship Id="rId13" Type="http://schemas.openxmlformats.org/officeDocument/2006/relationships/hyperlink" Target="http://b.Security" TargetMode="External"/><Relationship Id="rId18" Type="http://schemas.openxmlformats.org/officeDocument/2006/relationships/hyperlink" Target="http://b.Security" TargetMode="External"/><Relationship Id="rId3" Type="http://schemas.openxmlformats.org/officeDocument/2006/relationships/hyperlink" Target="http://b.Security" TargetMode="External"/><Relationship Id="rId7" Type="http://schemas.openxmlformats.org/officeDocument/2006/relationships/hyperlink" Target="http://b.Security" TargetMode="External"/><Relationship Id="rId12" Type="http://schemas.openxmlformats.org/officeDocument/2006/relationships/hyperlink" Target="http://b.Security" TargetMode="External"/><Relationship Id="rId17" Type="http://schemas.openxmlformats.org/officeDocument/2006/relationships/hyperlink" Target="http://b.Security" TargetMode="External"/><Relationship Id="rId2" Type="http://schemas.openxmlformats.org/officeDocument/2006/relationships/hyperlink" Target="http://s.Id" TargetMode="External"/><Relationship Id="rId16" Type="http://schemas.openxmlformats.org/officeDocument/2006/relationships/hyperlink" Target="http://b.Security" TargetMode="External"/><Relationship Id="rId1" Type="http://schemas.openxmlformats.org/officeDocument/2006/relationships/hyperlink" Target="http://b.Id" TargetMode="External"/><Relationship Id="rId6" Type="http://schemas.openxmlformats.org/officeDocument/2006/relationships/hyperlink" Target="http://b.Security" TargetMode="External"/><Relationship Id="rId11" Type="http://schemas.openxmlformats.org/officeDocument/2006/relationships/hyperlink" Target="http://b.Security" TargetMode="External"/><Relationship Id="rId5" Type="http://schemas.openxmlformats.org/officeDocument/2006/relationships/hyperlink" Target="http://b.Security" TargetMode="External"/><Relationship Id="rId15" Type="http://schemas.openxmlformats.org/officeDocument/2006/relationships/hyperlink" Target="http://b.Security" TargetMode="External"/><Relationship Id="rId10" Type="http://schemas.openxmlformats.org/officeDocument/2006/relationships/hyperlink" Target="http://b.Security" TargetMode="External"/><Relationship Id="rId4" Type="http://schemas.openxmlformats.org/officeDocument/2006/relationships/hyperlink" Target="http://b.Security" TargetMode="External"/><Relationship Id="rId9" Type="http://schemas.openxmlformats.org/officeDocument/2006/relationships/hyperlink" Target="http://b.Security" TargetMode="External"/><Relationship Id="rId14" Type="http://schemas.openxmlformats.org/officeDocument/2006/relationships/hyperlink" Target="http://b.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6D29-6C99-4FA5-A3B0-75DB97872C8D}">
  <dimension ref="A1:Q211"/>
  <sheetViews>
    <sheetView workbookViewId="0"/>
  </sheetViews>
  <sheetFormatPr defaultRowHeight="15"/>
  <cols>
    <col min="1" max="1" width="13.85546875" customWidth="1"/>
    <col min="2" max="2" width="14.5703125" bestFit="1" customWidth="1"/>
    <col min="3" max="4" width="19.7109375" bestFit="1" customWidth="1"/>
    <col min="5" max="5" width="20" bestFit="1" customWidth="1"/>
    <col min="6" max="6" width="14.140625" bestFit="1" customWidth="1"/>
    <col min="7" max="14" width="14" bestFit="1" customWidth="1"/>
  </cols>
  <sheetData>
    <row r="1" spans="1:17">
      <c r="F1" s="85" t="s">
        <v>0</v>
      </c>
      <c r="G1" s="85"/>
      <c r="H1" s="85"/>
      <c r="I1" s="85" t="s">
        <v>1</v>
      </c>
      <c r="J1" s="85"/>
      <c r="K1" s="85"/>
      <c r="L1" s="85" t="s">
        <v>2</v>
      </c>
      <c r="M1" s="85"/>
      <c r="N1" s="85"/>
    </row>
    <row r="2" spans="1:17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  <c r="L2" s="2" t="s">
        <v>8</v>
      </c>
      <c r="M2" s="2" t="s">
        <v>9</v>
      </c>
      <c r="N2" s="2" t="s">
        <v>10</v>
      </c>
    </row>
    <row r="3" spans="1:17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45930</v>
      </c>
      <c r="G3" s="4" t="s">
        <v>15</v>
      </c>
      <c r="H3" s="5">
        <v>500</v>
      </c>
      <c r="I3" s="3">
        <v>45958</v>
      </c>
      <c r="J3" s="4" t="s">
        <v>16</v>
      </c>
      <c r="K3" s="5">
        <v>500</v>
      </c>
      <c r="L3" s="3">
        <v>45986</v>
      </c>
      <c r="M3" s="4" t="s">
        <v>17</v>
      </c>
      <c r="N3" s="5">
        <v>500</v>
      </c>
    </row>
    <row r="4" spans="1:17">
      <c r="A4" s="4" t="s">
        <v>18</v>
      </c>
      <c r="B4" s="4" t="s">
        <v>18</v>
      </c>
      <c r="C4" s="4" t="s">
        <v>19</v>
      </c>
      <c r="D4" s="4" t="s">
        <v>20</v>
      </c>
      <c r="E4" s="4" t="s">
        <v>21</v>
      </c>
      <c r="F4" s="3">
        <v>45930</v>
      </c>
      <c r="G4" s="4" t="s">
        <v>22</v>
      </c>
      <c r="H4" s="5">
        <v>125</v>
      </c>
      <c r="I4" s="3">
        <v>45958</v>
      </c>
      <c r="J4" s="4" t="s">
        <v>23</v>
      </c>
      <c r="K4" s="5">
        <v>125</v>
      </c>
      <c r="L4" s="3">
        <v>45986</v>
      </c>
      <c r="M4" s="4" t="s">
        <v>24</v>
      </c>
      <c r="N4" s="5">
        <v>125</v>
      </c>
    </row>
    <row r="5" spans="1:17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">
        <v>45930</v>
      </c>
      <c r="G5" s="4" t="s">
        <v>30</v>
      </c>
      <c r="H5" s="5">
        <v>3100</v>
      </c>
      <c r="I5" s="3">
        <v>45958</v>
      </c>
      <c r="J5" s="4" t="s">
        <v>31</v>
      </c>
      <c r="K5" s="5">
        <v>3100</v>
      </c>
      <c r="L5" s="3">
        <v>45986</v>
      </c>
      <c r="M5" s="4" t="s">
        <v>32</v>
      </c>
      <c r="N5" s="5">
        <v>3100</v>
      </c>
    </row>
    <row r="6" spans="1:17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3">
        <v>45930</v>
      </c>
      <c r="G6" s="4" t="s">
        <v>38</v>
      </c>
      <c r="H6" s="5">
        <v>1050</v>
      </c>
      <c r="I6" s="3">
        <v>45958</v>
      </c>
      <c r="J6" s="4" t="s">
        <v>39</v>
      </c>
      <c r="K6" s="5">
        <v>1050</v>
      </c>
      <c r="L6" s="3">
        <v>45986</v>
      </c>
      <c r="M6" s="4" t="s">
        <v>40</v>
      </c>
      <c r="N6" s="5">
        <v>1050</v>
      </c>
      <c r="Q6" t="s">
        <v>41</v>
      </c>
    </row>
    <row r="7" spans="1:17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3">
        <v>45930</v>
      </c>
      <c r="G7" s="4" t="s">
        <v>47</v>
      </c>
      <c r="H7" s="5">
        <v>675</v>
      </c>
      <c r="I7" s="3">
        <v>45958</v>
      </c>
      <c r="J7" s="4" t="s">
        <v>48</v>
      </c>
      <c r="K7" s="5">
        <v>675</v>
      </c>
      <c r="L7" s="3">
        <v>45986</v>
      </c>
      <c r="M7" s="4" t="s">
        <v>49</v>
      </c>
      <c r="N7" s="5">
        <v>675</v>
      </c>
    </row>
    <row r="8" spans="1:17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3">
        <v>45930</v>
      </c>
      <c r="G8" s="4" t="s">
        <v>55</v>
      </c>
      <c r="H8" s="5">
        <v>600</v>
      </c>
      <c r="I8" s="3">
        <v>45958</v>
      </c>
      <c r="J8" s="4" t="s">
        <v>56</v>
      </c>
      <c r="K8" s="5">
        <v>600</v>
      </c>
      <c r="L8" s="3">
        <v>45986</v>
      </c>
      <c r="M8" s="4" t="s">
        <v>57</v>
      </c>
      <c r="N8" s="5">
        <v>600</v>
      </c>
    </row>
    <row r="9" spans="1:17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3">
        <v>45930</v>
      </c>
      <c r="G9" s="4" t="s">
        <v>63</v>
      </c>
      <c r="H9" s="5">
        <v>300</v>
      </c>
      <c r="I9" s="3">
        <v>45958</v>
      </c>
      <c r="J9" s="4" t="s">
        <v>64</v>
      </c>
      <c r="K9" s="5">
        <v>300</v>
      </c>
      <c r="L9" s="3">
        <v>45986</v>
      </c>
      <c r="M9" s="4" t="s">
        <v>65</v>
      </c>
      <c r="N9" s="5">
        <v>300</v>
      </c>
    </row>
    <row r="10" spans="1:17">
      <c r="A10" s="4" t="s">
        <v>66</v>
      </c>
      <c r="B10" s="4" t="s">
        <v>67</v>
      </c>
      <c r="C10" s="4" t="s">
        <v>68</v>
      </c>
      <c r="D10" s="4" t="s">
        <v>69</v>
      </c>
      <c r="E10" s="4" t="s">
        <v>70</v>
      </c>
      <c r="F10" s="3">
        <v>45930</v>
      </c>
      <c r="G10" s="4" t="s">
        <v>71</v>
      </c>
      <c r="H10" s="5">
        <v>475</v>
      </c>
      <c r="I10" s="3">
        <v>45958</v>
      </c>
      <c r="J10" s="4" t="s">
        <v>72</v>
      </c>
      <c r="K10" s="5">
        <v>475</v>
      </c>
      <c r="L10" s="3">
        <v>45986</v>
      </c>
      <c r="M10" s="4" t="s">
        <v>73</v>
      </c>
      <c r="N10" s="5">
        <v>475</v>
      </c>
    </row>
    <row r="11" spans="1:17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3">
        <v>45930</v>
      </c>
      <c r="G11" s="4" t="s">
        <v>79</v>
      </c>
      <c r="H11" s="5">
        <v>5000</v>
      </c>
      <c r="I11" s="3">
        <v>45958</v>
      </c>
      <c r="J11" s="4" t="s">
        <v>80</v>
      </c>
      <c r="K11" s="5">
        <v>5000</v>
      </c>
      <c r="L11" s="3">
        <v>45986</v>
      </c>
      <c r="M11" s="4" t="s">
        <v>81</v>
      </c>
      <c r="N11" s="5">
        <v>5000</v>
      </c>
    </row>
    <row r="12" spans="1:17">
      <c r="A12" s="4" t="s">
        <v>82</v>
      </c>
      <c r="B12" s="4" t="s">
        <v>82</v>
      </c>
      <c r="C12" s="4" t="s">
        <v>83</v>
      </c>
      <c r="D12" s="4" t="s">
        <v>84</v>
      </c>
      <c r="E12" s="4" t="s">
        <v>85</v>
      </c>
      <c r="F12" s="3">
        <v>45930</v>
      </c>
      <c r="G12" s="4" t="s">
        <v>86</v>
      </c>
      <c r="H12" s="5">
        <v>125</v>
      </c>
      <c r="I12" s="3">
        <v>45958</v>
      </c>
      <c r="J12" s="4" t="s">
        <v>87</v>
      </c>
      <c r="K12" s="5">
        <v>125</v>
      </c>
      <c r="L12" s="3">
        <v>45986</v>
      </c>
      <c r="M12" s="4" t="s">
        <v>88</v>
      </c>
      <c r="N12" s="5">
        <v>125</v>
      </c>
    </row>
    <row r="13" spans="1:17">
      <c r="A13" s="4" t="s">
        <v>89</v>
      </c>
      <c r="B13" s="4" t="s">
        <v>89</v>
      </c>
      <c r="C13" s="4" t="s">
        <v>90</v>
      </c>
      <c r="D13" s="4" t="s">
        <v>91</v>
      </c>
      <c r="E13" s="4" t="s">
        <v>92</v>
      </c>
      <c r="F13" s="3">
        <v>45930</v>
      </c>
      <c r="G13" s="4" t="s">
        <v>93</v>
      </c>
      <c r="H13" s="5">
        <v>100</v>
      </c>
      <c r="I13" s="3">
        <v>45958</v>
      </c>
      <c r="J13" s="4" t="s">
        <v>94</v>
      </c>
      <c r="K13" s="5">
        <v>100</v>
      </c>
      <c r="L13" s="3">
        <v>45986</v>
      </c>
      <c r="M13" s="4" t="s">
        <v>95</v>
      </c>
      <c r="N13" s="5">
        <v>100</v>
      </c>
    </row>
    <row r="14" spans="1:17">
      <c r="A14" s="4" t="s">
        <v>96</v>
      </c>
      <c r="B14" s="4" t="s">
        <v>96</v>
      </c>
      <c r="C14" s="4" t="s">
        <v>97</v>
      </c>
      <c r="D14" s="4" t="s">
        <v>98</v>
      </c>
      <c r="E14" s="4" t="s">
        <v>99</v>
      </c>
      <c r="F14" s="3">
        <v>45930</v>
      </c>
      <c r="G14" s="4" t="s">
        <v>100</v>
      </c>
      <c r="H14" s="5">
        <v>250</v>
      </c>
      <c r="I14" s="3">
        <v>45958</v>
      </c>
      <c r="J14" s="4" t="s">
        <v>101</v>
      </c>
      <c r="K14" s="5">
        <v>250</v>
      </c>
      <c r="L14" s="3">
        <v>45986</v>
      </c>
      <c r="M14" s="4" t="s">
        <v>102</v>
      </c>
      <c r="N14" s="5">
        <v>250</v>
      </c>
    </row>
    <row r="15" spans="1:17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3">
        <v>45930</v>
      </c>
      <c r="G15" s="4" t="s">
        <v>108</v>
      </c>
      <c r="H15" s="5">
        <v>350</v>
      </c>
      <c r="I15" s="3">
        <v>45958</v>
      </c>
      <c r="J15" s="4" t="s">
        <v>109</v>
      </c>
      <c r="K15" s="5">
        <v>350</v>
      </c>
      <c r="L15" s="3">
        <v>45986</v>
      </c>
      <c r="M15" s="4" t="s">
        <v>110</v>
      </c>
      <c r="N15" s="5">
        <v>350</v>
      </c>
    </row>
    <row r="16" spans="1:17">
      <c r="A16" s="4" t="s">
        <v>111</v>
      </c>
      <c r="B16" s="4" t="s">
        <v>112</v>
      </c>
      <c r="C16" s="4" t="s">
        <v>113</v>
      </c>
      <c r="D16" s="4" t="s">
        <v>114</v>
      </c>
      <c r="E16" s="4" t="s">
        <v>115</v>
      </c>
      <c r="F16" s="3">
        <v>45930</v>
      </c>
      <c r="G16" s="4" t="s">
        <v>116</v>
      </c>
      <c r="H16" s="5">
        <v>125</v>
      </c>
      <c r="I16" s="3">
        <v>45958</v>
      </c>
      <c r="J16" s="4" t="s">
        <v>117</v>
      </c>
      <c r="K16" s="5">
        <v>125</v>
      </c>
      <c r="L16" s="3">
        <v>45986</v>
      </c>
      <c r="M16" s="4" t="s">
        <v>118</v>
      </c>
      <c r="N16" s="5">
        <v>125</v>
      </c>
    </row>
    <row r="17" spans="1:14">
      <c r="A17" s="4" t="s">
        <v>119</v>
      </c>
      <c r="B17" s="4" t="s">
        <v>120</v>
      </c>
      <c r="C17" s="4" t="s">
        <v>121</v>
      </c>
      <c r="D17" s="4" t="s">
        <v>122</v>
      </c>
      <c r="E17" s="4" t="s">
        <v>123</v>
      </c>
      <c r="F17" s="3">
        <v>45930</v>
      </c>
      <c r="G17" s="4" t="s">
        <v>124</v>
      </c>
      <c r="H17" s="5">
        <v>250</v>
      </c>
      <c r="I17" s="3">
        <v>45958</v>
      </c>
      <c r="J17" s="4" t="s">
        <v>125</v>
      </c>
      <c r="K17" s="5">
        <v>250</v>
      </c>
      <c r="L17" s="3">
        <v>45986</v>
      </c>
      <c r="M17" s="4" t="s">
        <v>126</v>
      </c>
      <c r="N17" s="5">
        <v>250</v>
      </c>
    </row>
    <row r="18" spans="1:14">
      <c r="A18" s="4" t="s">
        <v>127</v>
      </c>
      <c r="B18" s="4" t="s">
        <v>128</v>
      </c>
      <c r="C18" s="4" t="s">
        <v>129</v>
      </c>
      <c r="D18" s="4" t="s">
        <v>130</v>
      </c>
      <c r="E18" s="4" t="s">
        <v>131</v>
      </c>
      <c r="F18" s="3">
        <v>45930</v>
      </c>
      <c r="G18" s="4" t="s">
        <v>132</v>
      </c>
      <c r="H18" s="5">
        <v>550</v>
      </c>
      <c r="I18" s="3">
        <v>45958</v>
      </c>
      <c r="J18" s="4" t="s">
        <v>133</v>
      </c>
      <c r="K18" s="5">
        <v>550</v>
      </c>
      <c r="L18" s="3">
        <v>45986</v>
      </c>
      <c r="M18" s="4" t="s">
        <v>134</v>
      </c>
      <c r="N18" s="5">
        <v>550</v>
      </c>
    </row>
    <row r="19" spans="1:14">
      <c r="A19" s="4" t="s">
        <v>135</v>
      </c>
      <c r="B19" s="4" t="s">
        <v>136</v>
      </c>
      <c r="C19" s="4" t="s">
        <v>137</v>
      </c>
      <c r="D19" s="4" t="s">
        <v>138</v>
      </c>
      <c r="E19" s="4" t="s">
        <v>139</v>
      </c>
      <c r="F19" s="3">
        <v>45930</v>
      </c>
      <c r="G19" s="4" t="s">
        <v>140</v>
      </c>
      <c r="H19" s="5">
        <v>425</v>
      </c>
      <c r="I19" s="3">
        <v>45958</v>
      </c>
      <c r="J19" s="4" t="s">
        <v>141</v>
      </c>
      <c r="K19" s="5">
        <v>425</v>
      </c>
      <c r="L19" s="3">
        <v>45986</v>
      </c>
      <c r="M19" s="4" t="s">
        <v>142</v>
      </c>
      <c r="N19" s="5">
        <v>425</v>
      </c>
    </row>
    <row r="20" spans="1:14">
      <c r="A20" s="4" t="s">
        <v>143</v>
      </c>
      <c r="B20" s="4" t="s">
        <v>143</v>
      </c>
      <c r="C20" s="4" t="s">
        <v>144</v>
      </c>
      <c r="D20" s="4" t="s">
        <v>145</v>
      </c>
      <c r="E20" s="4" t="s">
        <v>146</v>
      </c>
      <c r="F20" s="3">
        <v>45930</v>
      </c>
      <c r="G20" s="4" t="s">
        <v>147</v>
      </c>
      <c r="H20" s="5">
        <v>1000</v>
      </c>
      <c r="I20" s="3">
        <v>45958</v>
      </c>
      <c r="J20" s="4" t="s">
        <v>148</v>
      </c>
      <c r="K20" s="5">
        <v>1000</v>
      </c>
      <c r="L20" s="3">
        <v>45986</v>
      </c>
      <c r="M20" s="4" t="s">
        <v>149</v>
      </c>
      <c r="N20" s="5">
        <v>1000</v>
      </c>
    </row>
    <row r="21" spans="1:14">
      <c r="A21" s="4" t="s">
        <v>150</v>
      </c>
      <c r="B21" s="4" t="s">
        <v>151</v>
      </c>
      <c r="C21" s="4" t="s">
        <v>152</v>
      </c>
      <c r="D21" s="4" t="s">
        <v>153</v>
      </c>
      <c r="E21" s="4" t="s">
        <v>154</v>
      </c>
      <c r="F21" s="3">
        <v>45930</v>
      </c>
      <c r="G21" s="4" t="s">
        <v>155</v>
      </c>
      <c r="H21" s="5">
        <v>625</v>
      </c>
      <c r="I21" s="3">
        <v>45958</v>
      </c>
      <c r="J21" s="4" t="s">
        <v>156</v>
      </c>
      <c r="K21" s="5">
        <v>625</v>
      </c>
      <c r="L21" s="3">
        <v>45986</v>
      </c>
      <c r="M21" s="4" t="s">
        <v>157</v>
      </c>
      <c r="N21" s="5">
        <v>625</v>
      </c>
    </row>
    <row r="22" spans="1:14">
      <c r="A22" s="4" t="s">
        <v>158</v>
      </c>
      <c r="B22" s="4" t="s">
        <v>159</v>
      </c>
      <c r="C22" s="4" t="s">
        <v>160</v>
      </c>
      <c r="D22" s="4" t="s">
        <v>161</v>
      </c>
      <c r="E22" s="4" t="s">
        <v>162</v>
      </c>
      <c r="F22" s="3">
        <v>45930</v>
      </c>
      <c r="G22" s="4" t="s">
        <v>163</v>
      </c>
      <c r="H22" s="5">
        <v>750</v>
      </c>
      <c r="I22" s="3">
        <v>45958</v>
      </c>
      <c r="J22" s="4" t="s">
        <v>164</v>
      </c>
      <c r="K22" s="5">
        <v>750</v>
      </c>
      <c r="L22" s="3">
        <v>45986</v>
      </c>
      <c r="M22" s="4" t="s">
        <v>165</v>
      </c>
      <c r="N22" s="5">
        <v>750</v>
      </c>
    </row>
    <row r="23" spans="1:14">
      <c r="A23" s="4" t="s">
        <v>166</v>
      </c>
      <c r="B23" s="4" t="s">
        <v>167</v>
      </c>
      <c r="C23" s="4" t="s">
        <v>168</v>
      </c>
      <c r="D23" s="4" t="s">
        <v>169</v>
      </c>
      <c r="E23" s="4" t="s">
        <v>170</v>
      </c>
      <c r="F23" s="3">
        <v>45930</v>
      </c>
      <c r="G23" s="4" t="s">
        <v>171</v>
      </c>
      <c r="H23" s="5">
        <v>3600</v>
      </c>
      <c r="I23" s="3">
        <v>45958</v>
      </c>
      <c r="J23" s="4" t="s">
        <v>172</v>
      </c>
      <c r="K23" s="5">
        <v>3600</v>
      </c>
      <c r="L23" s="3">
        <v>45986</v>
      </c>
      <c r="M23" s="4" t="s">
        <v>173</v>
      </c>
      <c r="N23" s="5">
        <v>3600</v>
      </c>
    </row>
    <row r="24" spans="1:14">
      <c r="A24" s="4" t="s">
        <v>174</v>
      </c>
      <c r="B24" s="4" t="s">
        <v>174</v>
      </c>
      <c r="C24" s="4" t="s">
        <v>175</v>
      </c>
      <c r="D24" s="4" t="s">
        <v>176</v>
      </c>
      <c r="E24" s="4" t="s">
        <v>177</v>
      </c>
      <c r="F24" s="3">
        <v>45930</v>
      </c>
      <c r="G24" s="4" t="s">
        <v>178</v>
      </c>
      <c r="H24" s="5">
        <v>325</v>
      </c>
      <c r="I24" s="3">
        <v>45958</v>
      </c>
      <c r="J24" s="4" t="s">
        <v>179</v>
      </c>
      <c r="K24" s="5">
        <v>325</v>
      </c>
      <c r="L24" s="3">
        <v>45986</v>
      </c>
      <c r="M24" s="4" t="s">
        <v>180</v>
      </c>
      <c r="N24" s="5">
        <v>325</v>
      </c>
    </row>
    <row r="25" spans="1:14">
      <c r="A25" s="4" t="s">
        <v>181</v>
      </c>
      <c r="B25" s="4" t="s">
        <v>182</v>
      </c>
      <c r="C25" s="4" t="s">
        <v>183</v>
      </c>
      <c r="D25" s="4" t="s">
        <v>184</v>
      </c>
      <c r="E25" s="4" t="s">
        <v>185</v>
      </c>
      <c r="F25" s="3">
        <v>45930</v>
      </c>
      <c r="G25" s="4" t="s">
        <v>186</v>
      </c>
      <c r="H25" s="5">
        <v>475</v>
      </c>
      <c r="I25" s="3">
        <v>45958</v>
      </c>
      <c r="J25" s="4" t="s">
        <v>187</v>
      </c>
      <c r="K25" s="5">
        <v>475</v>
      </c>
      <c r="L25" s="3">
        <v>45986</v>
      </c>
      <c r="M25" s="4" t="s">
        <v>188</v>
      </c>
      <c r="N25" s="5">
        <v>475</v>
      </c>
    </row>
    <row r="26" spans="1:14">
      <c r="A26" s="4" t="s">
        <v>189</v>
      </c>
      <c r="B26" s="4" t="s">
        <v>190</v>
      </c>
      <c r="C26" s="4" t="s">
        <v>191</v>
      </c>
      <c r="D26" s="4" t="s">
        <v>192</v>
      </c>
      <c r="E26" s="4" t="s">
        <v>193</v>
      </c>
      <c r="F26" s="3">
        <v>45930</v>
      </c>
      <c r="G26" s="4" t="s">
        <v>194</v>
      </c>
      <c r="H26" s="5">
        <v>2850</v>
      </c>
      <c r="I26" s="3">
        <v>45958</v>
      </c>
      <c r="J26" s="4" t="s">
        <v>195</v>
      </c>
      <c r="K26" s="5">
        <v>2850</v>
      </c>
      <c r="L26" s="3">
        <v>45986</v>
      </c>
      <c r="M26" s="4" t="s">
        <v>196</v>
      </c>
      <c r="N26" s="5">
        <v>2850</v>
      </c>
    </row>
    <row r="27" spans="1:14">
      <c r="A27" s="4" t="s">
        <v>197</v>
      </c>
      <c r="B27" s="4" t="s">
        <v>197</v>
      </c>
      <c r="C27" s="4" t="s">
        <v>198</v>
      </c>
      <c r="D27" s="4" t="s">
        <v>199</v>
      </c>
      <c r="E27" s="4" t="s">
        <v>200</v>
      </c>
      <c r="F27" s="3">
        <v>45930</v>
      </c>
      <c r="G27" s="4" t="s">
        <v>201</v>
      </c>
      <c r="H27" s="5">
        <v>2625</v>
      </c>
      <c r="I27" s="3">
        <v>45958</v>
      </c>
      <c r="J27" s="4" t="s">
        <v>202</v>
      </c>
      <c r="K27" s="5">
        <v>2625</v>
      </c>
      <c r="L27" s="3">
        <v>45986</v>
      </c>
      <c r="M27" s="4" t="s">
        <v>203</v>
      </c>
      <c r="N27" s="5">
        <v>2625</v>
      </c>
    </row>
    <row r="28" spans="1:14">
      <c r="A28" s="4" t="s">
        <v>204</v>
      </c>
      <c r="B28" s="4" t="s">
        <v>205</v>
      </c>
      <c r="C28" s="4" t="s">
        <v>206</v>
      </c>
      <c r="D28" s="4" t="s">
        <v>207</v>
      </c>
      <c r="E28" s="4" t="s">
        <v>208</v>
      </c>
      <c r="F28" s="3">
        <v>45930</v>
      </c>
      <c r="G28" s="4" t="s">
        <v>209</v>
      </c>
      <c r="H28" s="5">
        <v>500</v>
      </c>
      <c r="I28" s="3">
        <v>45958</v>
      </c>
      <c r="J28" s="4" t="s">
        <v>210</v>
      </c>
      <c r="K28" s="5">
        <v>500</v>
      </c>
      <c r="L28" s="3">
        <v>45986</v>
      </c>
      <c r="M28" s="4" t="s">
        <v>211</v>
      </c>
      <c r="N28" s="5">
        <v>500</v>
      </c>
    </row>
    <row r="29" spans="1:14">
      <c r="A29" s="4" t="s">
        <v>212</v>
      </c>
      <c r="B29" s="4" t="s">
        <v>213</v>
      </c>
      <c r="C29" s="4" t="s">
        <v>214</v>
      </c>
      <c r="D29" s="4" t="s">
        <v>215</v>
      </c>
      <c r="E29" s="4" t="s">
        <v>216</v>
      </c>
      <c r="F29" s="3">
        <v>45930</v>
      </c>
      <c r="G29" s="4" t="s">
        <v>217</v>
      </c>
      <c r="H29" s="5">
        <v>2500</v>
      </c>
      <c r="I29" s="3">
        <v>45958</v>
      </c>
      <c r="J29" s="4" t="s">
        <v>218</v>
      </c>
      <c r="K29" s="5">
        <v>2500</v>
      </c>
      <c r="L29" s="3">
        <v>45986</v>
      </c>
      <c r="M29" s="4" t="s">
        <v>219</v>
      </c>
      <c r="N29" s="5">
        <v>2500</v>
      </c>
    </row>
    <row r="30" spans="1:14">
      <c r="A30" s="4" t="s">
        <v>220</v>
      </c>
      <c r="B30" s="4" t="s">
        <v>221</v>
      </c>
      <c r="C30" s="4" t="s">
        <v>222</v>
      </c>
      <c r="D30" s="4" t="s">
        <v>223</v>
      </c>
      <c r="E30" s="4" t="s">
        <v>224</v>
      </c>
      <c r="F30" s="3">
        <v>45930</v>
      </c>
      <c r="G30" s="4" t="s">
        <v>225</v>
      </c>
      <c r="H30" s="5">
        <v>75</v>
      </c>
      <c r="I30" s="3">
        <v>45958</v>
      </c>
      <c r="J30" s="4" t="s">
        <v>226</v>
      </c>
      <c r="K30" s="5">
        <v>75</v>
      </c>
      <c r="L30" s="3">
        <v>45986</v>
      </c>
      <c r="M30" s="4" t="s">
        <v>227</v>
      </c>
      <c r="N30" s="5">
        <v>75</v>
      </c>
    </row>
    <row r="31" spans="1:14">
      <c r="A31" s="4" t="s">
        <v>228</v>
      </c>
      <c r="B31" s="4" t="s">
        <v>229</v>
      </c>
      <c r="C31" s="4" t="s">
        <v>230</v>
      </c>
      <c r="D31" s="4" t="s">
        <v>231</v>
      </c>
      <c r="E31" s="4" t="s">
        <v>232</v>
      </c>
      <c r="F31" s="3">
        <v>45930</v>
      </c>
      <c r="G31" s="4" t="s">
        <v>233</v>
      </c>
      <c r="H31" s="5">
        <v>500</v>
      </c>
      <c r="I31" s="3">
        <v>45958</v>
      </c>
      <c r="J31" s="4" t="s">
        <v>234</v>
      </c>
      <c r="K31" s="5">
        <v>500</v>
      </c>
      <c r="L31" s="3">
        <v>45986</v>
      </c>
      <c r="M31" s="4" t="s">
        <v>235</v>
      </c>
      <c r="N31" s="5">
        <v>500</v>
      </c>
    </row>
    <row r="32" spans="1:14">
      <c r="A32" s="4" t="s">
        <v>236</v>
      </c>
      <c r="B32" s="4" t="s">
        <v>237</v>
      </c>
      <c r="C32" s="4" t="s">
        <v>238</v>
      </c>
      <c r="D32" s="4" t="s">
        <v>239</v>
      </c>
      <c r="E32" s="4" t="s">
        <v>240</v>
      </c>
      <c r="F32" s="3">
        <v>45930</v>
      </c>
      <c r="G32" s="4" t="s">
        <v>241</v>
      </c>
      <c r="H32" s="5">
        <v>325</v>
      </c>
      <c r="I32" s="3">
        <v>45958</v>
      </c>
      <c r="J32" s="4" t="s">
        <v>242</v>
      </c>
      <c r="K32" s="5">
        <v>325</v>
      </c>
      <c r="L32" s="3">
        <v>45986</v>
      </c>
      <c r="M32" s="4" t="s">
        <v>243</v>
      </c>
      <c r="N32" s="5">
        <v>325</v>
      </c>
    </row>
    <row r="33" spans="1:14">
      <c r="A33" s="4" t="s">
        <v>244</v>
      </c>
      <c r="B33" s="4" t="s">
        <v>245</v>
      </c>
      <c r="C33" s="4" t="s">
        <v>246</v>
      </c>
      <c r="D33" s="4" t="s">
        <v>247</v>
      </c>
      <c r="E33" s="4" t="s">
        <v>248</v>
      </c>
      <c r="F33" s="3">
        <v>45930</v>
      </c>
      <c r="G33" s="4" t="s">
        <v>249</v>
      </c>
      <c r="H33" s="5">
        <v>2925</v>
      </c>
      <c r="I33" s="3">
        <v>45958</v>
      </c>
      <c r="J33" s="4" t="s">
        <v>250</v>
      </c>
      <c r="K33" s="5">
        <v>2925</v>
      </c>
      <c r="L33" s="3">
        <v>45986</v>
      </c>
      <c r="M33" s="4" t="s">
        <v>251</v>
      </c>
      <c r="N33" s="5">
        <v>2925</v>
      </c>
    </row>
    <row r="34" spans="1:14">
      <c r="A34" s="4" t="s">
        <v>252</v>
      </c>
      <c r="B34" s="4" t="s">
        <v>253</v>
      </c>
      <c r="C34" s="4" t="s">
        <v>254</v>
      </c>
      <c r="D34" s="4" t="s">
        <v>255</v>
      </c>
      <c r="E34" s="4" t="s">
        <v>256</v>
      </c>
      <c r="F34" s="3">
        <v>45930</v>
      </c>
      <c r="G34" s="4" t="s">
        <v>257</v>
      </c>
      <c r="H34" s="5">
        <v>5200</v>
      </c>
      <c r="I34" s="3">
        <v>45958</v>
      </c>
      <c r="J34" s="4" t="s">
        <v>258</v>
      </c>
      <c r="K34" s="5">
        <v>5200</v>
      </c>
      <c r="L34" s="3">
        <v>45986</v>
      </c>
      <c r="M34" s="4" t="s">
        <v>259</v>
      </c>
      <c r="N34" s="5">
        <v>5200</v>
      </c>
    </row>
    <row r="35" spans="1:14">
      <c r="A35" s="4" t="s">
        <v>260</v>
      </c>
      <c r="B35" s="4" t="s">
        <v>261</v>
      </c>
      <c r="C35" s="4" t="s">
        <v>262</v>
      </c>
      <c r="D35" s="4" t="s">
        <v>263</v>
      </c>
      <c r="E35" s="4" t="s">
        <v>264</v>
      </c>
      <c r="F35" s="3">
        <v>45930</v>
      </c>
      <c r="G35" s="4" t="s">
        <v>265</v>
      </c>
      <c r="H35" s="5">
        <v>25</v>
      </c>
      <c r="I35" s="3">
        <v>45958</v>
      </c>
      <c r="J35" s="4" t="s">
        <v>266</v>
      </c>
      <c r="K35" s="5">
        <v>25</v>
      </c>
      <c r="L35" s="3">
        <v>45986</v>
      </c>
      <c r="M35" s="4" t="s">
        <v>267</v>
      </c>
      <c r="N35" s="5">
        <v>25</v>
      </c>
    </row>
    <row r="36" spans="1:14">
      <c r="A36" s="4" t="s">
        <v>268</v>
      </c>
      <c r="B36" s="4" t="s">
        <v>268</v>
      </c>
      <c r="C36" s="4" t="s">
        <v>269</v>
      </c>
      <c r="D36" s="4" t="s">
        <v>270</v>
      </c>
      <c r="E36" s="4" t="s">
        <v>271</v>
      </c>
      <c r="F36" s="3">
        <v>45930</v>
      </c>
      <c r="G36" s="4" t="s">
        <v>272</v>
      </c>
      <c r="H36" s="5">
        <v>1975</v>
      </c>
      <c r="I36" s="3">
        <v>45958</v>
      </c>
      <c r="J36" s="4" t="s">
        <v>273</v>
      </c>
      <c r="K36" s="5">
        <v>1975</v>
      </c>
      <c r="L36" s="3">
        <v>45986</v>
      </c>
      <c r="M36" s="4" t="s">
        <v>274</v>
      </c>
      <c r="N36" s="5">
        <v>1975</v>
      </c>
    </row>
    <row r="37" spans="1:14">
      <c r="A37" s="4" t="s">
        <v>275</v>
      </c>
      <c r="B37" s="4" t="s">
        <v>276</v>
      </c>
      <c r="C37" s="4" t="s">
        <v>277</v>
      </c>
      <c r="D37" s="4" t="s">
        <v>278</v>
      </c>
      <c r="E37" s="4" t="s">
        <v>279</v>
      </c>
      <c r="F37" s="3">
        <v>45930</v>
      </c>
      <c r="G37" s="4" t="s">
        <v>280</v>
      </c>
      <c r="H37" s="5">
        <v>125</v>
      </c>
      <c r="I37" s="3">
        <v>45958</v>
      </c>
      <c r="J37" s="4" t="s">
        <v>281</v>
      </c>
      <c r="K37" s="5">
        <v>125</v>
      </c>
      <c r="L37" s="3">
        <v>45986</v>
      </c>
      <c r="M37" s="4" t="s">
        <v>282</v>
      </c>
      <c r="N37" s="5">
        <v>125</v>
      </c>
    </row>
    <row r="38" spans="1:14">
      <c r="A38" s="4" t="s">
        <v>283</v>
      </c>
      <c r="B38" s="4" t="s">
        <v>283</v>
      </c>
      <c r="C38" s="4" t="s">
        <v>284</v>
      </c>
      <c r="D38" s="4" t="s">
        <v>285</v>
      </c>
      <c r="E38" s="4" t="s">
        <v>286</v>
      </c>
      <c r="F38" s="3">
        <v>45930</v>
      </c>
      <c r="G38" s="4" t="s">
        <v>287</v>
      </c>
      <c r="H38" s="5">
        <v>375</v>
      </c>
      <c r="I38" s="3">
        <v>45958</v>
      </c>
      <c r="J38" s="4" t="s">
        <v>288</v>
      </c>
      <c r="K38" s="5">
        <v>375</v>
      </c>
      <c r="L38" s="3">
        <v>45986</v>
      </c>
      <c r="M38" s="4" t="s">
        <v>289</v>
      </c>
      <c r="N38" s="5">
        <v>375</v>
      </c>
    </row>
    <row r="39" spans="1:14">
      <c r="A39" s="4" t="s">
        <v>290</v>
      </c>
      <c r="B39" s="4" t="s">
        <v>290</v>
      </c>
      <c r="C39" s="4" t="s">
        <v>291</v>
      </c>
      <c r="D39" s="4" t="s">
        <v>292</v>
      </c>
      <c r="E39" s="4" t="s">
        <v>293</v>
      </c>
      <c r="F39" s="3">
        <v>45930</v>
      </c>
      <c r="G39" s="4" t="s">
        <v>294</v>
      </c>
      <c r="H39" s="5">
        <v>150</v>
      </c>
      <c r="I39" s="3">
        <v>45958</v>
      </c>
      <c r="J39" s="4" t="s">
        <v>295</v>
      </c>
      <c r="K39" s="5">
        <v>150</v>
      </c>
      <c r="L39" s="3">
        <v>45986</v>
      </c>
      <c r="M39" s="4" t="s">
        <v>296</v>
      </c>
      <c r="N39" s="5">
        <v>150</v>
      </c>
    </row>
    <row r="40" spans="1:14">
      <c r="A40" s="4" t="s">
        <v>297</v>
      </c>
      <c r="B40" s="4" t="s">
        <v>298</v>
      </c>
      <c r="C40" s="4" t="s">
        <v>299</v>
      </c>
      <c r="D40" s="4" t="s">
        <v>300</v>
      </c>
      <c r="E40" s="4" t="s">
        <v>301</v>
      </c>
      <c r="F40" s="3">
        <v>45930</v>
      </c>
      <c r="G40" s="4" t="s">
        <v>302</v>
      </c>
      <c r="H40" s="5">
        <v>6750</v>
      </c>
      <c r="I40" s="3">
        <v>45958</v>
      </c>
      <c r="J40" s="4" t="s">
        <v>303</v>
      </c>
      <c r="K40" s="5">
        <v>6750</v>
      </c>
      <c r="L40" s="3">
        <v>45986</v>
      </c>
      <c r="M40" s="4" t="s">
        <v>304</v>
      </c>
      <c r="N40" s="5">
        <v>6750</v>
      </c>
    </row>
    <row r="41" spans="1:14">
      <c r="A41" s="4" t="s">
        <v>305</v>
      </c>
      <c r="B41" s="4" t="s">
        <v>306</v>
      </c>
      <c r="C41" s="4" t="s">
        <v>307</v>
      </c>
      <c r="D41" s="4" t="s">
        <v>308</v>
      </c>
      <c r="E41" s="4" t="s">
        <v>309</v>
      </c>
      <c r="F41" s="3">
        <v>45930</v>
      </c>
      <c r="G41" s="4" t="s">
        <v>310</v>
      </c>
      <c r="H41" s="5">
        <v>1250</v>
      </c>
      <c r="I41" s="3">
        <v>45958</v>
      </c>
      <c r="J41" s="4" t="s">
        <v>311</v>
      </c>
      <c r="K41" s="5">
        <v>1250</v>
      </c>
      <c r="L41" s="3">
        <v>45986</v>
      </c>
      <c r="M41" s="4" t="s">
        <v>312</v>
      </c>
      <c r="N41" s="5">
        <v>1250</v>
      </c>
    </row>
    <row r="42" spans="1:14">
      <c r="A42" s="4" t="s">
        <v>313</v>
      </c>
      <c r="B42" s="4" t="s">
        <v>313</v>
      </c>
      <c r="C42" s="4" t="s">
        <v>314</v>
      </c>
      <c r="D42" s="4" t="s">
        <v>315</v>
      </c>
      <c r="E42" s="4" t="s">
        <v>316</v>
      </c>
      <c r="F42" s="3">
        <v>45930</v>
      </c>
      <c r="G42" s="4" t="s">
        <v>317</v>
      </c>
      <c r="H42" s="5">
        <v>475</v>
      </c>
      <c r="I42" s="3">
        <v>45958</v>
      </c>
      <c r="J42" s="4" t="s">
        <v>318</v>
      </c>
      <c r="K42" s="5">
        <v>475</v>
      </c>
      <c r="L42" s="3">
        <v>45986</v>
      </c>
      <c r="M42" s="4" t="s">
        <v>319</v>
      </c>
      <c r="N42" s="5">
        <v>475</v>
      </c>
    </row>
    <row r="43" spans="1:14">
      <c r="A43" s="4" t="s">
        <v>320</v>
      </c>
      <c r="B43" s="4" t="s">
        <v>320</v>
      </c>
      <c r="C43" s="4" t="s">
        <v>321</v>
      </c>
      <c r="D43" s="4" t="s">
        <v>322</v>
      </c>
      <c r="E43" s="4" t="s">
        <v>323</v>
      </c>
      <c r="F43" s="3">
        <v>45930</v>
      </c>
      <c r="G43" s="4" t="s">
        <v>324</v>
      </c>
      <c r="H43" s="5">
        <v>850</v>
      </c>
      <c r="I43" s="3">
        <v>45958</v>
      </c>
      <c r="J43" s="4" t="s">
        <v>325</v>
      </c>
      <c r="K43" s="5">
        <v>850</v>
      </c>
      <c r="L43" s="3">
        <v>45986</v>
      </c>
      <c r="M43" s="4" t="s">
        <v>326</v>
      </c>
      <c r="N43" s="5">
        <v>850</v>
      </c>
    </row>
    <row r="44" spans="1:14">
      <c r="A44" s="4" t="s">
        <v>327</v>
      </c>
      <c r="B44" s="4" t="s">
        <v>328</v>
      </c>
      <c r="C44" s="4" t="s">
        <v>329</v>
      </c>
      <c r="D44" s="4" t="s">
        <v>330</v>
      </c>
      <c r="E44" s="4" t="s">
        <v>331</v>
      </c>
      <c r="F44" s="3">
        <v>45930</v>
      </c>
      <c r="G44" s="4" t="s">
        <v>332</v>
      </c>
      <c r="H44" s="5">
        <v>625</v>
      </c>
      <c r="I44" s="3">
        <v>45958</v>
      </c>
      <c r="J44" s="4" t="s">
        <v>333</v>
      </c>
      <c r="K44" s="5">
        <v>625</v>
      </c>
      <c r="L44" s="3">
        <v>45986</v>
      </c>
      <c r="M44" s="4" t="s">
        <v>334</v>
      </c>
      <c r="N44" s="5">
        <v>625</v>
      </c>
    </row>
    <row r="45" spans="1:14">
      <c r="A45" s="4" t="s">
        <v>335</v>
      </c>
      <c r="B45" s="4" t="s">
        <v>335</v>
      </c>
      <c r="C45" s="4" t="s">
        <v>336</v>
      </c>
      <c r="D45" s="4" t="s">
        <v>337</v>
      </c>
      <c r="E45" s="4" t="s">
        <v>338</v>
      </c>
      <c r="F45" s="3">
        <v>45930</v>
      </c>
      <c r="G45" s="4" t="s">
        <v>339</v>
      </c>
      <c r="H45" s="5">
        <v>375</v>
      </c>
      <c r="I45" s="3">
        <v>45958</v>
      </c>
      <c r="J45" s="4" t="s">
        <v>340</v>
      </c>
      <c r="K45" s="5">
        <v>375</v>
      </c>
      <c r="L45" s="3">
        <v>45986</v>
      </c>
      <c r="M45" s="4" t="s">
        <v>341</v>
      </c>
      <c r="N45" s="5">
        <v>375</v>
      </c>
    </row>
    <row r="46" spans="1:14">
      <c r="A46" s="4" t="s">
        <v>342</v>
      </c>
      <c r="B46" s="4" t="s">
        <v>343</v>
      </c>
      <c r="C46" s="4" t="s">
        <v>344</v>
      </c>
      <c r="D46" s="4" t="s">
        <v>345</v>
      </c>
      <c r="E46" s="4" t="s">
        <v>346</v>
      </c>
      <c r="F46" s="3">
        <v>45930</v>
      </c>
      <c r="G46" s="4" t="s">
        <v>347</v>
      </c>
      <c r="H46" s="5">
        <v>225</v>
      </c>
      <c r="I46" s="3">
        <v>45958</v>
      </c>
      <c r="J46" s="4" t="s">
        <v>348</v>
      </c>
      <c r="K46" s="5">
        <v>225</v>
      </c>
      <c r="L46" s="3">
        <v>45986</v>
      </c>
      <c r="M46" s="4" t="s">
        <v>349</v>
      </c>
      <c r="N46" s="5">
        <v>225</v>
      </c>
    </row>
    <row r="47" spans="1:14">
      <c r="A47" s="4" t="s">
        <v>350</v>
      </c>
      <c r="B47" s="4" t="s">
        <v>351</v>
      </c>
      <c r="C47" s="4" t="s">
        <v>352</v>
      </c>
      <c r="D47" s="4" t="s">
        <v>353</v>
      </c>
      <c r="E47" s="4" t="s">
        <v>354</v>
      </c>
      <c r="F47" s="3">
        <v>45930</v>
      </c>
      <c r="G47" s="4" t="s">
        <v>355</v>
      </c>
      <c r="H47" s="5">
        <v>1350</v>
      </c>
      <c r="I47" s="3">
        <v>45958</v>
      </c>
      <c r="J47" s="4" t="s">
        <v>356</v>
      </c>
      <c r="K47" s="5">
        <v>1350</v>
      </c>
      <c r="L47" s="3">
        <v>45986</v>
      </c>
      <c r="M47" s="4" t="s">
        <v>357</v>
      </c>
      <c r="N47" s="5">
        <v>1350</v>
      </c>
    </row>
    <row r="48" spans="1:14">
      <c r="A48" s="4" t="s">
        <v>358</v>
      </c>
      <c r="B48" s="4" t="s">
        <v>358</v>
      </c>
      <c r="C48" s="4" t="s">
        <v>359</v>
      </c>
      <c r="D48" s="4" t="s">
        <v>360</v>
      </c>
      <c r="E48" s="4" t="s">
        <v>361</v>
      </c>
      <c r="F48" s="3">
        <v>45930</v>
      </c>
      <c r="G48" s="4" t="s">
        <v>362</v>
      </c>
      <c r="H48" s="5">
        <v>375</v>
      </c>
      <c r="I48" s="3">
        <v>45958</v>
      </c>
      <c r="J48" s="4" t="s">
        <v>363</v>
      </c>
      <c r="K48" s="5">
        <v>375</v>
      </c>
      <c r="L48" s="3">
        <v>45986</v>
      </c>
      <c r="M48" s="4" t="s">
        <v>364</v>
      </c>
      <c r="N48" s="5">
        <v>375</v>
      </c>
    </row>
    <row r="49" spans="1:14">
      <c r="A49" s="4" t="s">
        <v>365</v>
      </c>
      <c r="B49" s="4" t="s">
        <v>365</v>
      </c>
      <c r="C49" s="4" t="s">
        <v>366</v>
      </c>
      <c r="D49" s="4" t="s">
        <v>367</v>
      </c>
      <c r="E49" s="4" t="s">
        <v>368</v>
      </c>
      <c r="F49" s="3">
        <v>45930</v>
      </c>
      <c r="G49" s="4" t="s">
        <v>369</v>
      </c>
      <c r="H49" s="5">
        <v>1800</v>
      </c>
      <c r="I49" s="3">
        <v>45958</v>
      </c>
      <c r="J49" s="4" t="s">
        <v>370</v>
      </c>
      <c r="K49" s="5">
        <v>1800</v>
      </c>
      <c r="L49" s="3">
        <v>45986</v>
      </c>
      <c r="M49" s="4" t="s">
        <v>371</v>
      </c>
      <c r="N49" s="5">
        <v>1800</v>
      </c>
    </row>
    <row r="50" spans="1:14">
      <c r="A50" s="4" t="s">
        <v>372</v>
      </c>
      <c r="B50" s="4" t="s">
        <v>373</v>
      </c>
      <c r="C50" s="4" t="s">
        <v>374</v>
      </c>
      <c r="D50" s="4" t="s">
        <v>375</v>
      </c>
      <c r="E50" s="4" t="s">
        <v>376</v>
      </c>
      <c r="F50" s="3">
        <v>45930</v>
      </c>
      <c r="G50" s="4" t="s">
        <v>377</v>
      </c>
      <c r="H50" s="5">
        <v>425</v>
      </c>
      <c r="I50" s="3">
        <v>45958</v>
      </c>
      <c r="J50" s="4" t="s">
        <v>378</v>
      </c>
      <c r="K50" s="5">
        <v>425</v>
      </c>
      <c r="L50" s="3">
        <v>45986</v>
      </c>
      <c r="M50" s="4" t="s">
        <v>379</v>
      </c>
      <c r="N50" s="5">
        <v>425</v>
      </c>
    </row>
    <row r="51" spans="1:14">
      <c r="A51" s="4" t="s">
        <v>380</v>
      </c>
      <c r="B51" s="4" t="s">
        <v>380</v>
      </c>
      <c r="C51" s="4" t="s">
        <v>381</v>
      </c>
      <c r="D51" s="4" t="s">
        <v>382</v>
      </c>
      <c r="E51" s="4" t="s">
        <v>383</v>
      </c>
      <c r="F51" s="3">
        <v>45930</v>
      </c>
      <c r="G51" s="4" t="s">
        <v>384</v>
      </c>
      <c r="H51" s="5">
        <v>1250</v>
      </c>
      <c r="I51" s="3">
        <v>45958</v>
      </c>
      <c r="J51" s="4" t="s">
        <v>385</v>
      </c>
      <c r="K51" s="5">
        <v>1250</v>
      </c>
      <c r="L51" s="3">
        <v>45986</v>
      </c>
      <c r="M51" s="4" t="s">
        <v>386</v>
      </c>
      <c r="N51" s="5">
        <v>1250</v>
      </c>
    </row>
    <row r="52" spans="1:14">
      <c r="A52" s="4" t="s">
        <v>387</v>
      </c>
      <c r="B52" s="4" t="s">
        <v>388</v>
      </c>
      <c r="C52" s="4" t="s">
        <v>389</v>
      </c>
      <c r="D52" s="4" t="s">
        <v>390</v>
      </c>
      <c r="E52" s="4" t="s">
        <v>391</v>
      </c>
      <c r="F52" s="3">
        <v>45930</v>
      </c>
      <c r="G52" s="4" t="s">
        <v>392</v>
      </c>
      <c r="H52" s="5">
        <v>325</v>
      </c>
      <c r="I52" s="3">
        <v>45958</v>
      </c>
      <c r="J52" s="4" t="s">
        <v>393</v>
      </c>
      <c r="K52" s="5">
        <v>325</v>
      </c>
      <c r="L52" s="3">
        <v>45986</v>
      </c>
      <c r="M52" s="4" t="s">
        <v>394</v>
      </c>
      <c r="N52" s="5">
        <v>325</v>
      </c>
    </row>
    <row r="53" spans="1:14">
      <c r="A53" s="4" t="s">
        <v>395</v>
      </c>
      <c r="B53" s="4" t="s">
        <v>396</v>
      </c>
      <c r="C53" s="4" t="s">
        <v>397</v>
      </c>
      <c r="D53" s="4" t="s">
        <v>398</v>
      </c>
      <c r="E53" s="4" t="s">
        <v>399</v>
      </c>
      <c r="F53" s="3">
        <v>45930</v>
      </c>
      <c r="G53" s="4" t="s">
        <v>400</v>
      </c>
      <c r="H53" s="5">
        <v>2075</v>
      </c>
      <c r="I53" s="3">
        <v>45958</v>
      </c>
      <c r="J53" s="4" t="s">
        <v>401</v>
      </c>
      <c r="K53" s="5">
        <v>2075</v>
      </c>
      <c r="L53" s="3">
        <v>45986</v>
      </c>
      <c r="M53" s="4" t="s">
        <v>402</v>
      </c>
      <c r="N53" s="5">
        <v>2075</v>
      </c>
    </row>
    <row r="54" spans="1:14">
      <c r="A54" s="4" t="s">
        <v>403</v>
      </c>
      <c r="B54" s="4" t="s">
        <v>404</v>
      </c>
      <c r="C54" s="4" t="s">
        <v>405</v>
      </c>
      <c r="D54" s="4" t="s">
        <v>406</v>
      </c>
      <c r="E54" s="4" t="s">
        <v>407</v>
      </c>
      <c r="F54" s="3">
        <v>45930</v>
      </c>
      <c r="G54" s="4" t="s">
        <v>408</v>
      </c>
      <c r="H54" s="5">
        <v>100</v>
      </c>
      <c r="I54" s="3">
        <v>45958</v>
      </c>
      <c r="J54" s="4" t="s">
        <v>409</v>
      </c>
      <c r="K54" s="5">
        <v>100</v>
      </c>
      <c r="L54" s="3">
        <v>45986</v>
      </c>
      <c r="M54" s="4" t="s">
        <v>410</v>
      </c>
      <c r="N54" s="5">
        <v>100</v>
      </c>
    </row>
    <row r="55" spans="1:14">
      <c r="A55" s="4" t="s">
        <v>411</v>
      </c>
      <c r="B55" s="4" t="s">
        <v>411</v>
      </c>
      <c r="C55" s="4" t="s">
        <v>412</v>
      </c>
      <c r="D55" s="4" t="s">
        <v>413</v>
      </c>
      <c r="E55" s="4" t="s">
        <v>414</v>
      </c>
      <c r="F55" s="3">
        <v>45930</v>
      </c>
      <c r="G55" s="4" t="s">
        <v>415</v>
      </c>
      <c r="H55" s="5">
        <v>50</v>
      </c>
      <c r="I55" s="3">
        <v>45958</v>
      </c>
      <c r="J55" s="4" t="s">
        <v>416</v>
      </c>
      <c r="K55" s="5">
        <v>50</v>
      </c>
      <c r="L55" s="3">
        <v>45986</v>
      </c>
      <c r="M55" s="4" t="s">
        <v>417</v>
      </c>
      <c r="N55" s="5">
        <v>50</v>
      </c>
    </row>
    <row r="56" spans="1:14">
      <c r="A56" s="4" t="s">
        <v>418</v>
      </c>
      <c r="B56" s="4" t="s">
        <v>419</v>
      </c>
      <c r="C56" s="4" t="s">
        <v>420</v>
      </c>
      <c r="D56" s="4" t="s">
        <v>421</v>
      </c>
      <c r="E56" s="4" t="s">
        <v>422</v>
      </c>
      <c r="F56" s="3">
        <v>45930</v>
      </c>
      <c r="G56" s="4" t="s">
        <v>423</v>
      </c>
      <c r="H56" s="5">
        <v>825</v>
      </c>
      <c r="I56" s="3">
        <v>45958</v>
      </c>
      <c r="J56" s="4" t="s">
        <v>424</v>
      </c>
      <c r="K56" s="5">
        <v>825</v>
      </c>
      <c r="L56" s="3">
        <v>45986</v>
      </c>
      <c r="M56" s="4" t="s">
        <v>425</v>
      </c>
      <c r="N56" s="5">
        <v>825</v>
      </c>
    </row>
    <row r="57" spans="1:14">
      <c r="A57" s="4" t="s">
        <v>426</v>
      </c>
      <c r="B57" s="4" t="s">
        <v>426</v>
      </c>
      <c r="C57" s="4" t="s">
        <v>427</v>
      </c>
      <c r="D57" s="4" t="s">
        <v>428</v>
      </c>
      <c r="E57" s="4" t="s">
        <v>429</v>
      </c>
      <c r="F57" s="3">
        <v>45930</v>
      </c>
      <c r="G57" s="4" t="s">
        <v>430</v>
      </c>
      <c r="H57" s="5">
        <v>150</v>
      </c>
      <c r="I57" s="3">
        <v>45958</v>
      </c>
      <c r="J57" s="4" t="s">
        <v>431</v>
      </c>
      <c r="K57" s="5">
        <v>150</v>
      </c>
      <c r="L57" s="3">
        <v>45986</v>
      </c>
      <c r="M57" s="4" t="s">
        <v>432</v>
      </c>
      <c r="N57" s="5">
        <v>150</v>
      </c>
    </row>
    <row r="58" spans="1:14">
      <c r="A58" s="4" t="s">
        <v>433</v>
      </c>
      <c r="B58" s="4" t="s">
        <v>434</v>
      </c>
      <c r="C58" s="4" t="s">
        <v>435</v>
      </c>
      <c r="D58" s="4" t="s">
        <v>436</v>
      </c>
      <c r="E58" s="4" t="s">
        <v>437</v>
      </c>
      <c r="F58" s="3">
        <v>45930</v>
      </c>
      <c r="G58" s="4" t="s">
        <v>438</v>
      </c>
      <c r="H58" s="5">
        <v>625</v>
      </c>
      <c r="I58" s="3">
        <v>45958</v>
      </c>
      <c r="J58" s="4" t="s">
        <v>439</v>
      </c>
      <c r="K58" s="5">
        <v>625</v>
      </c>
      <c r="L58" s="3">
        <v>45986</v>
      </c>
      <c r="M58" s="4" t="s">
        <v>440</v>
      </c>
      <c r="N58" s="5">
        <v>625</v>
      </c>
    </row>
    <row r="59" spans="1:14">
      <c r="A59" s="4" t="s">
        <v>441</v>
      </c>
      <c r="B59" s="4" t="s">
        <v>442</v>
      </c>
      <c r="C59" s="4" t="s">
        <v>443</v>
      </c>
      <c r="D59" s="4" t="s">
        <v>444</v>
      </c>
      <c r="E59" s="4" t="s">
        <v>445</v>
      </c>
      <c r="F59" s="3">
        <v>45930</v>
      </c>
      <c r="G59" s="4" t="s">
        <v>446</v>
      </c>
      <c r="H59" s="5">
        <v>175</v>
      </c>
      <c r="I59" s="3">
        <v>45958</v>
      </c>
      <c r="J59" s="4" t="s">
        <v>447</v>
      </c>
      <c r="K59" s="5">
        <v>175</v>
      </c>
      <c r="L59" s="3">
        <v>45986</v>
      </c>
      <c r="M59" s="4" t="s">
        <v>448</v>
      </c>
      <c r="N59" s="5">
        <v>175</v>
      </c>
    </row>
    <row r="60" spans="1:14">
      <c r="A60" s="4" t="s">
        <v>449</v>
      </c>
      <c r="B60" s="4" t="s">
        <v>449</v>
      </c>
      <c r="C60" s="4" t="s">
        <v>450</v>
      </c>
      <c r="D60" s="4" t="s">
        <v>451</v>
      </c>
      <c r="E60" s="4" t="s">
        <v>452</v>
      </c>
      <c r="F60" s="3">
        <v>45930</v>
      </c>
      <c r="G60" s="4" t="s">
        <v>453</v>
      </c>
      <c r="H60" s="5">
        <v>2425</v>
      </c>
      <c r="I60" s="3">
        <v>45958</v>
      </c>
      <c r="J60" s="4" t="s">
        <v>454</v>
      </c>
      <c r="K60" s="5">
        <v>2425</v>
      </c>
      <c r="L60" s="3">
        <v>45986</v>
      </c>
      <c r="M60" s="4" t="s">
        <v>455</v>
      </c>
      <c r="N60" s="5">
        <v>2425</v>
      </c>
    </row>
    <row r="61" spans="1:14">
      <c r="A61" s="4" t="s">
        <v>456</v>
      </c>
      <c r="B61" s="4" t="s">
        <v>457</v>
      </c>
      <c r="C61" s="4" t="s">
        <v>458</v>
      </c>
      <c r="D61" s="4" t="s">
        <v>459</v>
      </c>
      <c r="E61" s="4" t="s">
        <v>460</v>
      </c>
      <c r="F61" s="3">
        <v>45930</v>
      </c>
      <c r="G61" s="4" t="s">
        <v>461</v>
      </c>
      <c r="H61" s="5">
        <v>1800</v>
      </c>
      <c r="I61" s="3">
        <v>45958</v>
      </c>
      <c r="J61" s="4" t="s">
        <v>462</v>
      </c>
      <c r="K61" s="5">
        <v>1800</v>
      </c>
      <c r="L61" s="3">
        <v>45986</v>
      </c>
      <c r="M61" s="4" t="s">
        <v>463</v>
      </c>
      <c r="N61" s="5">
        <v>1800</v>
      </c>
    </row>
    <row r="62" spans="1:14">
      <c r="A62" s="4" t="s">
        <v>464</v>
      </c>
      <c r="B62" s="4" t="s">
        <v>465</v>
      </c>
      <c r="C62" s="4" t="s">
        <v>466</v>
      </c>
      <c r="D62" s="4" t="s">
        <v>467</v>
      </c>
      <c r="E62" s="4" t="s">
        <v>468</v>
      </c>
      <c r="F62" s="3">
        <v>45930</v>
      </c>
      <c r="G62" s="4" t="s">
        <v>469</v>
      </c>
      <c r="H62" s="5">
        <v>5000</v>
      </c>
      <c r="I62" s="3">
        <v>45958</v>
      </c>
      <c r="J62" s="4" t="s">
        <v>470</v>
      </c>
      <c r="K62" s="5">
        <v>5000</v>
      </c>
      <c r="L62" s="3">
        <v>45986</v>
      </c>
      <c r="M62" s="4" t="s">
        <v>471</v>
      </c>
      <c r="N62" s="5">
        <v>5000</v>
      </c>
    </row>
    <row r="63" spans="1:14">
      <c r="A63" s="4" t="s">
        <v>472</v>
      </c>
      <c r="B63" s="4" t="s">
        <v>473</v>
      </c>
      <c r="C63" s="4" t="s">
        <v>474</v>
      </c>
      <c r="D63" s="4" t="s">
        <v>475</v>
      </c>
      <c r="E63" s="4" t="s">
        <v>476</v>
      </c>
      <c r="F63" s="3">
        <v>45930</v>
      </c>
      <c r="G63" s="4" t="s">
        <v>477</v>
      </c>
      <c r="H63" s="5">
        <v>775</v>
      </c>
      <c r="I63" s="3">
        <v>45958</v>
      </c>
      <c r="J63" s="4" t="s">
        <v>478</v>
      </c>
      <c r="K63" s="5">
        <v>775</v>
      </c>
      <c r="L63" s="3">
        <v>45986</v>
      </c>
      <c r="M63" s="4" t="s">
        <v>479</v>
      </c>
      <c r="N63" s="5">
        <v>775</v>
      </c>
    </row>
    <row r="64" spans="1:14">
      <c r="A64" s="4" t="s">
        <v>480</v>
      </c>
      <c r="B64" s="4" t="s">
        <v>480</v>
      </c>
      <c r="C64" s="4" t="s">
        <v>481</v>
      </c>
      <c r="D64" s="4" t="s">
        <v>482</v>
      </c>
      <c r="E64" s="4" t="s">
        <v>483</v>
      </c>
      <c r="F64" s="3">
        <v>45930</v>
      </c>
      <c r="G64" s="4" t="s">
        <v>484</v>
      </c>
      <c r="H64" s="5">
        <v>3150</v>
      </c>
      <c r="I64" s="3">
        <v>45958</v>
      </c>
      <c r="J64" s="4" t="s">
        <v>485</v>
      </c>
      <c r="K64" s="5">
        <v>3150</v>
      </c>
      <c r="L64" s="3">
        <v>45986</v>
      </c>
      <c r="M64" s="4" t="s">
        <v>486</v>
      </c>
      <c r="N64" s="5">
        <v>3150</v>
      </c>
    </row>
    <row r="65" spans="1:14">
      <c r="A65" s="4" t="s">
        <v>487</v>
      </c>
      <c r="B65" s="4" t="s">
        <v>488</v>
      </c>
      <c r="C65" s="4" t="s">
        <v>489</v>
      </c>
      <c r="D65" s="4" t="s">
        <v>490</v>
      </c>
      <c r="E65" s="4" t="s">
        <v>491</v>
      </c>
      <c r="F65" s="3">
        <v>45930</v>
      </c>
      <c r="G65" s="4" t="s">
        <v>492</v>
      </c>
      <c r="H65" s="5">
        <v>500</v>
      </c>
      <c r="I65" s="3">
        <v>45958</v>
      </c>
      <c r="J65" s="4" t="s">
        <v>493</v>
      </c>
      <c r="K65" s="5">
        <v>500</v>
      </c>
      <c r="L65" s="3">
        <v>45986</v>
      </c>
      <c r="M65" s="4" t="s">
        <v>494</v>
      </c>
      <c r="N65" s="5">
        <v>500</v>
      </c>
    </row>
    <row r="66" spans="1:14">
      <c r="A66" s="4" t="s">
        <v>495</v>
      </c>
      <c r="B66" s="4" t="s">
        <v>496</v>
      </c>
      <c r="C66" s="4" t="s">
        <v>497</v>
      </c>
      <c r="D66" s="4" t="s">
        <v>498</v>
      </c>
      <c r="E66" s="4" t="s">
        <v>499</v>
      </c>
      <c r="F66" s="3">
        <v>45930</v>
      </c>
      <c r="G66" s="4" t="s">
        <v>500</v>
      </c>
      <c r="H66" s="5">
        <v>6975</v>
      </c>
      <c r="I66" s="3">
        <v>45958</v>
      </c>
      <c r="J66" s="4" t="s">
        <v>501</v>
      </c>
      <c r="K66" s="5">
        <v>6975</v>
      </c>
      <c r="L66" s="3">
        <v>45986</v>
      </c>
      <c r="M66" s="4" t="s">
        <v>502</v>
      </c>
      <c r="N66" s="5">
        <v>6975</v>
      </c>
    </row>
    <row r="67" spans="1:14">
      <c r="A67" s="4" t="s">
        <v>503</v>
      </c>
      <c r="B67" s="4" t="s">
        <v>504</v>
      </c>
      <c r="C67" s="4" t="s">
        <v>505</v>
      </c>
      <c r="D67" s="4" t="s">
        <v>506</v>
      </c>
      <c r="E67" s="4" t="s">
        <v>507</v>
      </c>
      <c r="F67" s="3">
        <v>45930</v>
      </c>
      <c r="G67" s="4" t="s">
        <v>508</v>
      </c>
      <c r="H67" s="5">
        <v>375</v>
      </c>
      <c r="I67" s="3">
        <v>45958</v>
      </c>
      <c r="J67" s="4" t="s">
        <v>509</v>
      </c>
      <c r="K67" s="5">
        <v>375</v>
      </c>
      <c r="L67" s="3">
        <v>45986</v>
      </c>
      <c r="M67" s="4" t="s">
        <v>510</v>
      </c>
      <c r="N67" s="5">
        <v>375</v>
      </c>
    </row>
    <row r="68" spans="1:14">
      <c r="A68" s="4" t="s">
        <v>511</v>
      </c>
      <c r="B68" s="4" t="s">
        <v>512</v>
      </c>
      <c r="C68" s="4" t="s">
        <v>513</v>
      </c>
      <c r="D68" s="4" t="s">
        <v>514</v>
      </c>
      <c r="E68" s="4" t="s">
        <v>515</v>
      </c>
      <c r="F68" s="3">
        <v>45930</v>
      </c>
      <c r="G68" s="4" t="s">
        <v>516</v>
      </c>
      <c r="H68" s="5">
        <v>275</v>
      </c>
      <c r="I68" s="3">
        <v>45958</v>
      </c>
      <c r="J68" s="4" t="s">
        <v>517</v>
      </c>
      <c r="K68" s="5">
        <v>275</v>
      </c>
      <c r="L68" s="3">
        <v>45986</v>
      </c>
      <c r="M68" s="4" t="s">
        <v>518</v>
      </c>
      <c r="N68" s="5">
        <v>275</v>
      </c>
    </row>
    <row r="69" spans="1:14">
      <c r="A69" s="4" t="s">
        <v>519</v>
      </c>
      <c r="B69" s="4" t="s">
        <v>519</v>
      </c>
      <c r="C69" s="4" t="s">
        <v>520</v>
      </c>
      <c r="D69" s="4" t="s">
        <v>521</v>
      </c>
      <c r="E69" s="4" t="s">
        <v>522</v>
      </c>
      <c r="F69" s="3">
        <v>45930</v>
      </c>
      <c r="G69" s="4" t="s">
        <v>523</v>
      </c>
      <c r="H69" s="5">
        <v>250</v>
      </c>
      <c r="I69" s="3">
        <v>45958</v>
      </c>
      <c r="J69" s="4" t="s">
        <v>524</v>
      </c>
      <c r="K69" s="5">
        <v>250</v>
      </c>
      <c r="L69" s="3">
        <v>45986</v>
      </c>
      <c r="M69" s="4" t="s">
        <v>525</v>
      </c>
      <c r="N69" s="5">
        <v>250</v>
      </c>
    </row>
    <row r="70" spans="1:14">
      <c r="A70" s="4" t="s">
        <v>526</v>
      </c>
      <c r="B70" s="4" t="s">
        <v>527</v>
      </c>
      <c r="C70" s="4" t="s">
        <v>528</v>
      </c>
      <c r="D70" s="4" t="s">
        <v>529</v>
      </c>
      <c r="E70" s="4" t="s">
        <v>530</v>
      </c>
      <c r="F70" s="3">
        <v>45930</v>
      </c>
      <c r="G70" s="4" t="s">
        <v>531</v>
      </c>
      <c r="H70" s="5">
        <v>150</v>
      </c>
      <c r="I70" s="3">
        <v>45958</v>
      </c>
      <c r="J70" s="4" t="s">
        <v>532</v>
      </c>
      <c r="K70" s="5">
        <v>150</v>
      </c>
      <c r="L70" s="3">
        <v>45986</v>
      </c>
      <c r="M70" s="4" t="s">
        <v>533</v>
      </c>
      <c r="N70" s="5">
        <v>150</v>
      </c>
    </row>
    <row r="71" spans="1:14">
      <c r="A71" s="4" t="s">
        <v>534</v>
      </c>
      <c r="B71" s="4" t="s">
        <v>535</v>
      </c>
      <c r="C71" s="4" t="s">
        <v>536</v>
      </c>
      <c r="D71" s="4" t="s">
        <v>537</v>
      </c>
      <c r="E71" s="4" t="s">
        <v>538</v>
      </c>
      <c r="F71" s="3">
        <v>45930</v>
      </c>
      <c r="G71" s="4" t="s">
        <v>539</v>
      </c>
      <c r="H71" s="5">
        <v>500</v>
      </c>
      <c r="I71" s="3">
        <v>45958</v>
      </c>
      <c r="J71" s="4" t="s">
        <v>540</v>
      </c>
      <c r="K71" s="5">
        <v>500</v>
      </c>
      <c r="L71" s="3">
        <v>45986</v>
      </c>
      <c r="M71" s="4" t="s">
        <v>541</v>
      </c>
      <c r="N71" s="5">
        <v>500</v>
      </c>
    </row>
    <row r="72" spans="1:14">
      <c r="A72" s="4" t="s">
        <v>527</v>
      </c>
      <c r="B72" s="4" t="s">
        <v>542</v>
      </c>
      <c r="C72" s="4" t="s">
        <v>543</v>
      </c>
      <c r="D72" s="4" t="s">
        <v>544</v>
      </c>
      <c r="E72" s="4" t="s">
        <v>545</v>
      </c>
      <c r="F72" s="3">
        <v>45930</v>
      </c>
      <c r="G72" s="4" t="s">
        <v>546</v>
      </c>
      <c r="H72" s="5">
        <v>350</v>
      </c>
      <c r="I72" s="3">
        <v>45958</v>
      </c>
      <c r="J72" s="4" t="s">
        <v>547</v>
      </c>
      <c r="K72" s="5">
        <v>350</v>
      </c>
      <c r="L72" s="3">
        <v>45986</v>
      </c>
      <c r="M72" s="4" t="s">
        <v>548</v>
      </c>
      <c r="N72" s="5">
        <v>350</v>
      </c>
    </row>
    <row r="73" spans="1:14">
      <c r="A73" s="4" t="s">
        <v>549</v>
      </c>
      <c r="B73" s="4" t="s">
        <v>550</v>
      </c>
      <c r="C73" s="4" t="s">
        <v>551</v>
      </c>
      <c r="D73" s="4" t="s">
        <v>552</v>
      </c>
      <c r="E73" s="4" t="s">
        <v>553</v>
      </c>
      <c r="F73" s="3">
        <v>45930</v>
      </c>
      <c r="G73" s="4" t="s">
        <v>554</v>
      </c>
      <c r="H73" s="5">
        <v>1100</v>
      </c>
      <c r="I73" s="3">
        <v>45958</v>
      </c>
      <c r="J73" s="4" t="s">
        <v>555</v>
      </c>
      <c r="K73" s="5">
        <v>1100</v>
      </c>
      <c r="L73" s="3">
        <v>45986</v>
      </c>
      <c r="M73" s="4" t="s">
        <v>556</v>
      </c>
      <c r="N73" s="5">
        <v>1100</v>
      </c>
    </row>
    <row r="74" spans="1:14">
      <c r="A74" s="4" t="s">
        <v>557</v>
      </c>
      <c r="B74" s="4" t="s">
        <v>557</v>
      </c>
      <c r="C74" s="4" t="s">
        <v>558</v>
      </c>
      <c r="D74" s="4" t="s">
        <v>559</v>
      </c>
      <c r="E74" s="4" t="s">
        <v>560</v>
      </c>
      <c r="F74" s="3">
        <v>45930</v>
      </c>
      <c r="G74" s="4" t="s">
        <v>561</v>
      </c>
      <c r="H74" s="5">
        <v>1100</v>
      </c>
      <c r="I74" s="3">
        <v>45958</v>
      </c>
      <c r="J74" s="4" t="s">
        <v>562</v>
      </c>
      <c r="K74" s="5">
        <v>1100</v>
      </c>
      <c r="L74" s="3">
        <v>45986</v>
      </c>
      <c r="M74" s="4" t="s">
        <v>563</v>
      </c>
      <c r="N74" s="5">
        <v>1100</v>
      </c>
    </row>
    <row r="75" spans="1:14">
      <c r="A75" s="4" t="s">
        <v>564</v>
      </c>
      <c r="B75" s="4" t="s">
        <v>565</v>
      </c>
      <c r="C75" s="4" t="s">
        <v>566</v>
      </c>
      <c r="D75" s="4" t="s">
        <v>567</v>
      </c>
      <c r="E75" s="4" t="s">
        <v>568</v>
      </c>
      <c r="F75" s="3">
        <v>45930</v>
      </c>
      <c r="G75" s="4" t="s">
        <v>569</v>
      </c>
      <c r="H75" s="5">
        <v>150</v>
      </c>
      <c r="I75" s="3">
        <v>45958</v>
      </c>
      <c r="J75" s="4" t="s">
        <v>570</v>
      </c>
      <c r="K75" s="5">
        <v>150</v>
      </c>
      <c r="L75" s="3">
        <v>45986</v>
      </c>
      <c r="M75" s="4" t="s">
        <v>571</v>
      </c>
      <c r="N75" s="5">
        <v>150</v>
      </c>
    </row>
    <row r="76" spans="1:14">
      <c r="A76" s="4" t="s">
        <v>572</v>
      </c>
      <c r="B76" s="4" t="s">
        <v>573</v>
      </c>
      <c r="C76" s="4" t="s">
        <v>574</v>
      </c>
      <c r="D76" s="4" t="s">
        <v>575</v>
      </c>
      <c r="E76" s="4" t="s">
        <v>576</v>
      </c>
      <c r="F76" s="3">
        <v>45930</v>
      </c>
      <c r="G76" s="4" t="s">
        <v>577</v>
      </c>
      <c r="H76" s="5">
        <v>6450</v>
      </c>
      <c r="I76" s="3">
        <v>45958</v>
      </c>
      <c r="J76" s="4" t="s">
        <v>578</v>
      </c>
      <c r="K76" s="5">
        <v>6450</v>
      </c>
      <c r="L76" s="3">
        <v>45986</v>
      </c>
      <c r="M76" s="4" t="s">
        <v>579</v>
      </c>
      <c r="N76" s="5">
        <v>6450</v>
      </c>
    </row>
    <row r="77" spans="1:14">
      <c r="A77" s="4" t="s">
        <v>580</v>
      </c>
      <c r="B77" s="4" t="s">
        <v>581</v>
      </c>
      <c r="C77" s="4" t="s">
        <v>582</v>
      </c>
      <c r="D77" s="4" t="s">
        <v>583</v>
      </c>
      <c r="E77" s="4" t="s">
        <v>584</v>
      </c>
      <c r="F77" s="3">
        <v>45930</v>
      </c>
      <c r="G77" s="4" t="s">
        <v>585</v>
      </c>
      <c r="H77" s="5">
        <v>150</v>
      </c>
      <c r="I77" s="3">
        <v>45958</v>
      </c>
      <c r="J77" s="4" t="s">
        <v>586</v>
      </c>
      <c r="K77" s="5">
        <v>150</v>
      </c>
      <c r="L77" s="3">
        <v>45986</v>
      </c>
      <c r="M77" s="4" t="s">
        <v>587</v>
      </c>
      <c r="N77" s="5">
        <v>150</v>
      </c>
    </row>
    <row r="78" spans="1:14">
      <c r="A78" s="4" t="s">
        <v>588</v>
      </c>
      <c r="B78" s="4" t="s">
        <v>589</v>
      </c>
      <c r="C78" s="4" t="s">
        <v>590</v>
      </c>
      <c r="D78" s="4" t="s">
        <v>591</v>
      </c>
      <c r="E78" s="4" t="s">
        <v>592</v>
      </c>
      <c r="F78" s="3">
        <v>45930</v>
      </c>
      <c r="G78" s="4" t="s">
        <v>593</v>
      </c>
      <c r="H78" s="5">
        <v>1400</v>
      </c>
      <c r="I78" s="3">
        <v>45958</v>
      </c>
      <c r="J78" s="4" t="s">
        <v>594</v>
      </c>
      <c r="K78" s="5">
        <v>1400</v>
      </c>
      <c r="L78" s="3">
        <v>45986</v>
      </c>
      <c r="M78" s="4" t="s">
        <v>595</v>
      </c>
      <c r="N78" s="5">
        <v>1400</v>
      </c>
    </row>
    <row r="79" spans="1:14">
      <c r="A79" s="4" t="s">
        <v>596</v>
      </c>
      <c r="B79" s="4" t="s">
        <v>597</v>
      </c>
      <c r="C79" s="4" t="s">
        <v>598</v>
      </c>
      <c r="D79" s="4" t="s">
        <v>599</v>
      </c>
      <c r="E79" s="4" t="s">
        <v>600</v>
      </c>
      <c r="F79" s="3">
        <v>45930</v>
      </c>
      <c r="G79" s="4" t="s">
        <v>601</v>
      </c>
      <c r="H79" s="5">
        <v>2025</v>
      </c>
      <c r="I79" s="3">
        <v>45958</v>
      </c>
      <c r="J79" s="4" t="s">
        <v>602</v>
      </c>
      <c r="K79" s="5">
        <v>2025</v>
      </c>
      <c r="L79" s="3">
        <v>45986</v>
      </c>
      <c r="M79" s="4" t="s">
        <v>603</v>
      </c>
      <c r="N79" s="5">
        <v>2025</v>
      </c>
    </row>
    <row r="80" spans="1:14">
      <c r="A80" s="4" t="s">
        <v>604</v>
      </c>
      <c r="B80" s="4" t="s">
        <v>604</v>
      </c>
      <c r="C80" s="4" t="s">
        <v>605</v>
      </c>
      <c r="D80" s="4" t="s">
        <v>606</v>
      </c>
      <c r="E80" s="4" t="s">
        <v>607</v>
      </c>
      <c r="F80" s="3">
        <v>45930</v>
      </c>
      <c r="G80" s="4" t="s">
        <v>608</v>
      </c>
      <c r="H80" s="5">
        <v>2775</v>
      </c>
      <c r="I80" s="3">
        <v>45958</v>
      </c>
      <c r="J80" s="4" t="s">
        <v>609</v>
      </c>
      <c r="K80" s="5">
        <v>2775</v>
      </c>
      <c r="L80" s="3">
        <v>45986</v>
      </c>
      <c r="M80" s="4" t="s">
        <v>610</v>
      </c>
      <c r="N80" s="5">
        <v>2775</v>
      </c>
    </row>
    <row r="81" spans="1:14">
      <c r="A81" s="4" t="s">
        <v>611</v>
      </c>
      <c r="B81" s="4" t="s">
        <v>612</v>
      </c>
      <c r="C81" s="4" t="s">
        <v>613</v>
      </c>
      <c r="D81" s="4" t="s">
        <v>614</v>
      </c>
      <c r="E81" s="4" t="s">
        <v>615</v>
      </c>
      <c r="F81" s="3">
        <v>45930</v>
      </c>
      <c r="G81" s="4" t="s">
        <v>616</v>
      </c>
      <c r="H81" s="5">
        <v>300</v>
      </c>
      <c r="I81" s="3">
        <v>45958</v>
      </c>
      <c r="J81" s="4" t="s">
        <v>617</v>
      </c>
      <c r="K81" s="5">
        <v>300</v>
      </c>
      <c r="L81" s="3">
        <v>45986</v>
      </c>
      <c r="M81" s="4" t="s">
        <v>618</v>
      </c>
      <c r="N81" s="5">
        <v>300</v>
      </c>
    </row>
    <row r="82" spans="1:14">
      <c r="A82" s="4" t="s">
        <v>619</v>
      </c>
      <c r="B82" s="4" t="s">
        <v>620</v>
      </c>
      <c r="C82" s="4" t="s">
        <v>621</v>
      </c>
      <c r="D82" s="4" t="s">
        <v>622</v>
      </c>
      <c r="E82" s="4" t="s">
        <v>623</v>
      </c>
      <c r="F82" s="3">
        <v>45930</v>
      </c>
      <c r="G82" s="4" t="s">
        <v>624</v>
      </c>
      <c r="H82" s="5">
        <v>1225</v>
      </c>
      <c r="I82" s="3">
        <v>45958</v>
      </c>
      <c r="J82" s="4" t="s">
        <v>625</v>
      </c>
      <c r="K82" s="5">
        <v>1225</v>
      </c>
      <c r="L82" s="3">
        <v>45986</v>
      </c>
      <c r="M82" s="4" t="s">
        <v>626</v>
      </c>
      <c r="N82" s="5">
        <v>1225</v>
      </c>
    </row>
    <row r="83" spans="1:14">
      <c r="A83" s="4" t="s">
        <v>627</v>
      </c>
      <c r="B83" s="4" t="s">
        <v>628</v>
      </c>
      <c r="C83" s="4" t="s">
        <v>629</v>
      </c>
      <c r="D83" s="4" t="s">
        <v>630</v>
      </c>
      <c r="E83" s="4" t="s">
        <v>631</v>
      </c>
      <c r="F83" s="3">
        <v>45930</v>
      </c>
      <c r="G83" s="4" t="s">
        <v>632</v>
      </c>
      <c r="H83" s="5">
        <v>325</v>
      </c>
      <c r="I83" s="3">
        <v>45958</v>
      </c>
      <c r="J83" s="4" t="s">
        <v>633</v>
      </c>
      <c r="K83" s="5">
        <v>325</v>
      </c>
      <c r="L83" s="3">
        <v>45986</v>
      </c>
      <c r="M83" s="4" t="s">
        <v>634</v>
      </c>
      <c r="N83" s="5">
        <v>325</v>
      </c>
    </row>
    <row r="84" spans="1:14">
      <c r="A84" s="4" t="s">
        <v>628</v>
      </c>
      <c r="B84" s="4" t="s">
        <v>635</v>
      </c>
      <c r="C84" s="4" t="s">
        <v>636</v>
      </c>
      <c r="D84" s="4" t="s">
        <v>637</v>
      </c>
      <c r="E84" s="4" t="s">
        <v>638</v>
      </c>
      <c r="F84" s="3">
        <v>45930</v>
      </c>
      <c r="G84" s="4" t="s">
        <v>639</v>
      </c>
      <c r="H84" s="5">
        <v>700</v>
      </c>
      <c r="I84" s="3">
        <v>45958</v>
      </c>
      <c r="J84" s="4" t="s">
        <v>640</v>
      </c>
      <c r="K84" s="5">
        <v>700</v>
      </c>
      <c r="L84" s="3">
        <v>45986</v>
      </c>
      <c r="M84" s="4" t="s">
        <v>641</v>
      </c>
      <c r="N84" s="5">
        <v>700</v>
      </c>
    </row>
    <row r="85" spans="1:14">
      <c r="A85" s="4" t="s">
        <v>642</v>
      </c>
      <c r="B85" s="4" t="s">
        <v>642</v>
      </c>
      <c r="C85" s="4" t="s">
        <v>643</v>
      </c>
      <c r="D85" s="4" t="s">
        <v>644</v>
      </c>
      <c r="E85" s="4" t="s">
        <v>645</v>
      </c>
      <c r="F85" s="3">
        <v>45930</v>
      </c>
      <c r="G85" s="4" t="s">
        <v>646</v>
      </c>
      <c r="H85" s="5">
        <v>71475</v>
      </c>
      <c r="I85" s="3">
        <v>45958</v>
      </c>
      <c r="J85" s="4" t="s">
        <v>647</v>
      </c>
      <c r="K85" s="5">
        <v>71475</v>
      </c>
      <c r="L85" s="3">
        <v>45986</v>
      </c>
      <c r="M85" s="4" t="s">
        <v>648</v>
      </c>
      <c r="N85" s="5">
        <v>71475</v>
      </c>
    </row>
    <row r="86" spans="1:14">
      <c r="A86" s="4" t="s">
        <v>649</v>
      </c>
      <c r="B86" s="4" t="s">
        <v>650</v>
      </c>
      <c r="C86" s="4" t="s">
        <v>651</v>
      </c>
      <c r="D86" s="4" t="s">
        <v>652</v>
      </c>
      <c r="E86" s="4" t="s">
        <v>653</v>
      </c>
      <c r="F86" s="3">
        <v>45930</v>
      </c>
      <c r="G86" s="4" t="s">
        <v>654</v>
      </c>
      <c r="H86" s="5">
        <v>9275</v>
      </c>
      <c r="I86" s="3">
        <v>45958</v>
      </c>
      <c r="J86" s="4" t="s">
        <v>655</v>
      </c>
      <c r="K86" s="5">
        <v>9275</v>
      </c>
      <c r="L86" s="3">
        <v>45986</v>
      </c>
      <c r="M86" s="4" t="s">
        <v>656</v>
      </c>
      <c r="N86" s="5">
        <v>9275</v>
      </c>
    </row>
    <row r="87" spans="1:14">
      <c r="A87" s="4" t="s">
        <v>657</v>
      </c>
      <c r="B87" s="4" t="s">
        <v>657</v>
      </c>
      <c r="C87" s="4" t="s">
        <v>658</v>
      </c>
      <c r="D87" s="4" t="s">
        <v>659</v>
      </c>
      <c r="E87" s="4" t="s">
        <v>660</v>
      </c>
      <c r="F87" s="3">
        <v>45930</v>
      </c>
      <c r="G87" s="4" t="s">
        <v>661</v>
      </c>
      <c r="H87" s="5">
        <v>3750</v>
      </c>
      <c r="I87" s="3">
        <v>45958</v>
      </c>
      <c r="J87" s="4" t="s">
        <v>662</v>
      </c>
      <c r="K87" s="5">
        <v>3750</v>
      </c>
      <c r="L87" s="3">
        <v>45986</v>
      </c>
      <c r="M87" s="4" t="s">
        <v>663</v>
      </c>
      <c r="N87" s="5">
        <v>3750</v>
      </c>
    </row>
    <row r="88" spans="1:14">
      <c r="A88" s="4" t="s">
        <v>664</v>
      </c>
      <c r="B88" s="4" t="s">
        <v>664</v>
      </c>
      <c r="C88" s="4" t="s">
        <v>665</v>
      </c>
      <c r="D88" s="4" t="s">
        <v>666</v>
      </c>
      <c r="E88" s="4" t="s">
        <v>667</v>
      </c>
      <c r="F88" s="3">
        <v>45930</v>
      </c>
      <c r="G88" s="4" t="s">
        <v>668</v>
      </c>
      <c r="H88" s="5">
        <v>2750</v>
      </c>
      <c r="I88" s="3">
        <v>45958</v>
      </c>
      <c r="J88" s="4" t="s">
        <v>669</v>
      </c>
      <c r="K88" s="5">
        <v>2750</v>
      </c>
      <c r="L88" s="3">
        <v>45986</v>
      </c>
      <c r="M88" s="4" t="s">
        <v>670</v>
      </c>
      <c r="N88" s="5">
        <v>2750</v>
      </c>
    </row>
    <row r="89" spans="1:14">
      <c r="A89" s="4" t="s">
        <v>671</v>
      </c>
      <c r="B89" s="4" t="s">
        <v>672</v>
      </c>
      <c r="C89" s="4" t="s">
        <v>673</v>
      </c>
      <c r="D89" s="4" t="s">
        <v>674</v>
      </c>
      <c r="E89" s="4" t="s">
        <v>675</v>
      </c>
      <c r="F89" s="3">
        <v>45930</v>
      </c>
      <c r="G89" s="4" t="s">
        <v>676</v>
      </c>
      <c r="H89" s="5">
        <v>1000</v>
      </c>
      <c r="I89" s="3">
        <v>45958</v>
      </c>
      <c r="J89" s="4" t="s">
        <v>677</v>
      </c>
      <c r="K89" s="5">
        <v>1000</v>
      </c>
      <c r="L89" s="3">
        <v>45986</v>
      </c>
      <c r="M89" s="4" t="s">
        <v>678</v>
      </c>
      <c r="N89" s="5">
        <v>1000</v>
      </c>
    </row>
    <row r="90" spans="1:14">
      <c r="A90" s="4" t="s">
        <v>679</v>
      </c>
      <c r="B90" s="4" t="s">
        <v>680</v>
      </c>
      <c r="C90" s="4" t="s">
        <v>681</v>
      </c>
      <c r="D90" s="4" t="s">
        <v>682</v>
      </c>
      <c r="E90" s="4" t="s">
        <v>683</v>
      </c>
      <c r="F90" s="3">
        <v>45930</v>
      </c>
      <c r="G90" s="4" t="s">
        <v>684</v>
      </c>
      <c r="H90" s="5">
        <v>700</v>
      </c>
      <c r="I90" s="3">
        <v>45958</v>
      </c>
      <c r="J90" s="4" t="s">
        <v>685</v>
      </c>
      <c r="K90" s="5">
        <v>700</v>
      </c>
      <c r="L90" s="3">
        <v>45986</v>
      </c>
      <c r="M90" s="4" t="s">
        <v>686</v>
      </c>
      <c r="N90" s="5">
        <v>700</v>
      </c>
    </row>
    <row r="91" spans="1:14">
      <c r="A91" s="4" t="s">
        <v>687</v>
      </c>
      <c r="B91" s="4" t="s">
        <v>687</v>
      </c>
      <c r="C91" s="4" t="s">
        <v>688</v>
      </c>
      <c r="D91" s="4" t="s">
        <v>689</v>
      </c>
      <c r="E91" s="4" t="s">
        <v>690</v>
      </c>
      <c r="F91" s="3">
        <v>45930</v>
      </c>
      <c r="G91" s="4" t="s">
        <v>691</v>
      </c>
      <c r="H91" s="5">
        <v>1650</v>
      </c>
      <c r="I91" s="3">
        <v>45958</v>
      </c>
      <c r="J91" s="4" t="s">
        <v>692</v>
      </c>
      <c r="K91" s="5">
        <v>1650</v>
      </c>
      <c r="L91" s="3">
        <v>45986</v>
      </c>
      <c r="M91" s="4" t="s">
        <v>693</v>
      </c>
      <c r="N91" s="5">
        <v>1650</v>
      </c>
    </row>
    <row r="92" spans="1:14">
      <c r="A92" s="4" t="s">
        <v>694</v>
      </c>
      <c r="B92" s="4" t="s">
        <v>695</v>
      </c>
      <c r="C92" s="4" t="s">
        <v>696</v>
      </c>
      <c r="D92" s="4" t="s">
        <v>697</v>
      </c>
      <c r="E92" s="4" t="s">
        <v>698</v>
      </c>
      <c r="F92" s="3">
        <v>45930</v>
      </c>
      <c r="G92" s="4" t="s">
        <v>699</v>
      </c>
      <c r="H92" s="5">
        <v>1000</v>
      </c>
      <c r="I92" s="3">
        <v>45958</v>
      </c>
      <c r="J92" s="4" t="s">
        <v>700</v>
      </c>
      <c r="K92" s="5">
        <v>1000</v>
      </c>
      <c r="L92" s="3">
        <v>45986</v>
      </c>
      <c r="M92" s="4" t="s">
        <v>701</v>
      </c>
      <c r="N92" s="5">
        <v>1000</v>
      </c>
    </row>
    <row r="93" spans="1:14">
      <c r="A93" s="4" t="s">
        <v>702</v>
      </c>
      <c r="B93" s="4" t="s">
        <v>702</v>
      </c>
      <c r="C93" s="4" t="s">
        <v>703</v>
      </c>
      <c r="D93" s="4" t="s">
        <v>704</v>
      </c>
      <c r="E93" s="4" t="s">
        <v>705</v>
      </c>
      <c r="F93" s="3">
        <v>45930</v>
      </c>
      <c r="G93" s="4" t="s">
        <v>706</v>
      </c>
      <c r="H93" s="5">
        <v>150</v>
      </c>
      <c r="I93" s="3">
        <v>45958</v>
      </c>
      <c r="J93" s="4" t="s">
        <v>707</v>
      </c>
      <c r="K93" s="5">
        <v>150</v>
      </c>
      <c r="L93" s="3">
        <v>45986</v>
      </c>
      <c r="M93" s="4" t="s">
        <v>708</v>
      </c>
      <c r="N93" s="5">
        <v>150</v>
      </c>
    </row>
    <row r="94" spans="1:14">
      <c r="A94" s="4" t="s">
        <v>709</v>
      </c>
      <c r="B94" s="4" t="s">
        <v>710</v>
      </c>
      <c r="C94" s="4" t="s">
        <v>711</v>
      </c>
      <c r="D94" s="4" t="s">
        <v>712</v>
      </c>
      <c r="E94" s="4" t="s">
        <v>713</v>
      </c>
      <c r="F94" s="3">
        <v>45930</v>
      </c>
      <c r="G94" s="4" t="s">
        <v>714</v>
      </c>
      <c r="H94" s="5">
        <v>1700</v>
      </c>
      <c r="I94" s="3">
        <v>45958</v>
      </c>
      <c r="J94" s="4" t="s">
        <v>715</v>
      </c>
      <c r="K94" s="5">
        <v>1700</v>
      </c>
      <c r="L94" s="3">
        <v>45986</v>
      </c>
      <c r="M94" s="4" t="s">
        <v>716</v>
      </c>
      <c r="N94" s="5">
        <v>1700</v>
      </c>
    </row>
    <row r="95" spans="1:14">
      <c r="A95" s="4" t="s">
        <v>717</v>
      </c>
      <c r="B95" s="4" t="s">
        <v>718</v>
      </c>
      <c r="C95" s="4" t="s">
        <v>719</v>
      </c>
      <c r="D95" s="4" t="s">
        <v>720</v>
      </c>
      <c r="E95" s="4" t="s">
        <v>721</v>
      </c>
      <c r="F95" s="3">
        <v>45930</v>
      </c>
      <c r="G95" s="4" t="s">
        <v>722</v>
      </c>
      <c r="H95" s="5">
        <v>400</v>
      </c>
      <c r="I95" s="3">
        <v>45958</v>
      </c>
      <c r="J95" s="4" t="s">
        <v>723</v>
      </c>
      <c r="K95" s="5">
        <v>400</v>
      </c>
      <c r="L95" s="3">
        <v>45986</v>
      </c>
      <c r="M95" s="4" t="s">
        <v>724</v>
      </c>
      <c r="N95" s="5">
        <v>400</v>
      </c>
    </row>
    <row r="96" spans="1:14">
      <c r="A96" s="4" t="s">
        <v>725</v>
      </c>
      <c r="B96" s="4" t="s">
        <v>726</v>
      </c>
      <c r="C96" s="4" t="s">
        <v>727</v>
      </c>
      <c r="D96" s="4" t="s">
        <v>728</v>
      </c>
      <c r="E96" s="4" t="s">
        <v>729</v>
      </c>
      <c r="F96" s="3">
        <v>45930</v>
      </c>
      <c r="G96" s="4" t="s">
        <v>730</v>
      </c>
      <c r="H96" s="5">
        <v>375</v>
      </c>
      <c r="I96" s="3">
        <v>45958</v>
      </c>
      <c r="J96" s="4" t="s">
        <v>731</v>
      </c>
      <c r="K96" s="5">
        <v>375</v>
      </c>
      <c r="L96" s="3">
        <v>45986</v>
      </c>
      <c r="M96" s="4" t="s">
        <v>732</v>
      </c>
      <c r="N96" s="5">
        <v>375</v>
      </c>
    </row>
    <row r="97" spans="1:14">
      <c r="A97" s="4" t="s">
        <v>733</v>
      </c>
      <c r="B97" s="4" t="s">
        <v>734</v>
      </c>
      <c r="C97" s="4" t="s">
        <v>735</v>
      </c>
      <c r="D97" s="4" t="s">
        <v>736</v>
      </c>
      <c r="E97" s="4" t="s">
        <v>737</v>
      </c>
      <c r="F97" s="3">
        <v>45930</v>
      </c>
      <c r="G97" s="4" t="s">
        <v>738</v>
      </c>
      <c r="H97" s="5">
        <v>3272</v>
      </c>
      <c r="I97" s="3">
        <v>45958</v>
      </c>
      <c r="J97" s="4" t="s">
        <v>739</v>
      </c>
      <c r="K97" s="5">
        <v>3272</v>
      </c>
      <c r="L97" s="3">
        <v>45986</v>
      </c>
      <c r="M97" s="4" t="s">
        <v>740</v>
      </c>
      <c r="N97" s="5">
        <v>3272</v>
      </c>
    </row>
    <row r="98" spans="1:14">
      <c r="A98" s="4" t="s">
        <v>741</v>
      </c>
      <c r="B98" s="4" t="s">
        <v>742</v>
      </c>
      <c r="C98" s="4" t="s">
        <v>743</v>
      </c>
      <c r="D98" s="4" t="s">
        <v>744</v>
      </c>
      <c r="E98" s="4" t="s">
        <v>745</v>
      </c>
      <c r="F98" s="3">
        <v>45930</v>
      </c>
      <c r="G98" s="4" t="s">
        <v>746</v>
      </c>
      <c r="H98" s="5">
        <v>4875</v>
      </c>
      <c r="I98" s="3">
        <v>45958</v>
      </c>
      <c r="J98" s="4" t="s">
        <v>747</v>
      </c>
      <c r="K98" s="5">
        <v>4875</v>
      </c>
      <c r="L98" s="3">
        <v>45986</v>
      </c>
      <c r="M98" s="4" t="s">
        <v>748</v>
      </c>
      <c r="N98" s="5">
        <v>4875</v>
      </c>
    </row>
    <row r="99" spans="1:14">
      <c r="A99" s="4" t="s">
        <v>749</v>
      </c>
      <c r="B99" s="4" t="s">
        <v>750</v>
      </c>
      <c r="C99" s="4" t="s">
        <v>751</v>
      </c>
      <c r="D99" s="4" t="s">
        <v>752</v>
      </c>
      <c r="E99" s="4" t="s">
        <v>753</v>
      </c>
      <c r="F99" s="3">
        <v>45930</v>
      </c>
      <c r="G99" s="4" t="s">
        <v>754</v>
      </c>
      <c r="H99" s="5">
        <v>925</v>
      </c>
      <c r="I99" s="3">
        <v>45958</v>
      </c>
      <c r="J99" s="4" t="s">
        <v>755</v>
      </c>
      <c r="K99" s="5">
        <v>925</v>
      </c>
      <c r="L99" s="3">
        <v>45986</v>
      </c>
      <c r="M99" s="4" t="s">
        <v>756</v>
      </c>
      <c r="N99" s="5">
        <v>925</v>
      </c>
    </row>
    <row r="100" spans="1:14">
      <c r="A100" s="4" t="s">
        <v>757</v>
      </c>
      <c r="B100" s="4" t="s">
        <v>757</v>
      </c>
      <c r="C100" s="4" t="s">
        <v>758</v>
      </c>
      <c r="D100" s="4" t="s">
        <v>759</v>
      </c>
      <c r="E100" s="4" t="s">
        <v>760</v>
      </c>
      <c r="F100" s="3">
        <v>45930</v>
      </c>
      <c r="G100" s="4" t="s">
        <v>761</v>
      </c>
      <c r="H100" s="5">
        <v>875</v>
      </c>
      <c r="I100" s="3">
        <v>45958</v>
      </c>
      <c r="J100" s="4" t="s">
        <v>762</v>
      </c>
      <c r="K100" s="5">
        <v>875</v>
      </c>
      <c r="L100" s="3">
        <v>45986</v>
      </c>
      <c r="M100" s="4" t="s">
        <v>763</v>
      </c>
      <c r="N100" s="5">
        <v>875</v>
      </c>
    </row>
    <row r="101" spans="1:14">
      <c r="A101" s="4" t="s">
        <v>764</v>
      </c>
      <c r="B101" s="4" t="s">
        <v>764</v>
      </c>
      <c r="C101" s="4" t="s">
        <v>765</v>
      </c>
      <c r="D101" s="4" t="s">
        <v>766</v>
      </c>
      <c r="E101" s="4" t="s">
        <v>767</v>
      </c>
      <c r="F101" s="3">
        <v>45930</v>
      </c>
      <c r="G101" s="4" t="s">
        <v>768</v>
      </c>
      <c r="H101" s="5">
        <v>3450</v>
      </c>
      <c r="I101" s="3">
        <v>45958</v>
      </c>
      <c r="J101" s="4" t="s">
        <v>769</v>
      </c>
      <c r="K101" s="5">
        <v>3450</v>
      </c>
      <c r="L101" s="3">
        <v>45986</v>
      </c>
      <c r="M101" s="4" t="s">
        <v>770</v>
      </c>
      <c r="N101" s="5">
        <v>3450</v>
      </c>
    </row>
    <row r="102" spans="1:14">
      <c r="A102" s="4" t="s">
        <v>771</v>
      </c>
      <c r="B102" s="4" t="s">
        <v>771</v>
      </c>
      <c r="C102" s="4" t="s">
        <v>772</v>
      </c>
      <c r="D102" s="4" t="s">
        <v>773</v>
      </c>
      <c r="E102" s="4" t="s">
        <v>774</v>
      </c>
      <c r="F102" s="3">
        <v>45930</v>
      </c>
      <c r="G102" s="4" t="s">
        <v>775</v>
      </c>
      <c r="H102" s="5">
        <v>4250</v>
      </c>
      <c r="I102" s="3">
        <v>45958</v>
      </c>
      <c r="J102" s="4" t="s">
        <v>776</v>
      </c>
      <c r="K102" s="5">
        <v>4250</v>
      </c>
      <c r="L102" s="3">
        <v>45986</v>
      </c>
      <c r="M102" s="4" t="s">
        <v>777</v>
      </c>
      <c r="N102" s="5">
        <v>4250</v>
      </c>
    </row>
    <row r="103" spans="1:14">
      <c r="A103" s="4" t="s">
        <v>778</v>
      </c>
      <c r="B103" s="4" t="s">
        <v>778</v>
      </c>
      <c r="C103" s="4" t="s">
        <v>779</v>
      </c>
      <c r="D103" s="4" t="s">
        <v>780</v>
      </c>
      <c r="E103" s="4" t="s">
        <v>781</v>
      </c>
      <c r="F103" s="3">
        <v>45930</v>
      </c>
      <c r="G103" s="4" t="s">
        <v>782</v>
      </c>
      <c r="H103" s="5">
        <v>1600</v>
      </c>
      <c r="I103" s="3">
        <v>45958</v>
      </c>
      <c r="J103" s="4" t="s">
        <v>783</v>
      </c>
      <c r="K103" s="5">
        <v>1600</v>
      </c>
      <c r="L103" s="3">
        <v>45986</v>
      </c>
      <c r="M103" s="4" t="s">
        <v>784</v>
      </c>
      <c r="N103" s="5">
        <v>1600</v>
      </c>
    </row>
    <row r="104" spans="1:14">
      <c r="A104" s="4" t="s">
        <v>785</v>
      </c>
      <c r="B104" s="4" t="s">
        <v>786</v>
      </c>
      <c r="C104" s="4" t="s">
        <v>787</v>
      </c>
      <c r="D104" s="4" t="s">
        <v>788</v>
      </c>
      <c r="E104" s="4" t="s">
        <v>789</v>
      </c>
      <c r="F104" s="3">
        <v>45930</v>
      </c>
      <c r="G104" s="4" t="s">
        <v>790</v>
      </c>
      <c r="H104" s="5">
        <v>625</v>
      </c>
      <c r="I104" s="3">
        <v>45958</v>
      </c>
      <c r="J104" s="4" t="s">
        <v>791</v>
      </c>
      <c r="K104" s="5">
        <v>625</v>
      </c>
      <c r="L104" s="3">
        <v>45986</v>
      </c>
      <c r="M104" s="4" t="s">
        <v>792</v>
      </c>
      <c r="N104" s="5">
        <v>625</v>
      </c>
    </row>
    <row r="105" spans="1:14">
      <c r="A105" s="4" t="s">
        <v>793</v>
      </c>
      <c r="B105" s="4" t="s">
        <v>793</v>
      </c>
      <c r="C105" s="4" t="s">
        <v>794</v>
      </c>
      <c r="D105" s="4" t="s">
        <v>795</v>
      </c>
      <c r="E105" s="4" t="s">
        <v>796</v>
      </c>
      <c r="F105" s="3">
        <v>45930</v>
      </c>
      <c r="G105" s="4" t="s">
        <v>797</v>
      </c>
      <c r="H105" s="5">
        <v>2350</v>
      </c>
      <c r="I105" s="3">
        <v>45958</v>
      </c>
      <c r="J105" s="4" t="s">
        <v>798</v>
      </c>
      <c r="K105" s="5">
        <v>2350</v>
      </c>
      <c r="L105" s="3">
        <v>45986</v>
      </c>
      <c r="M105" s="4" t="s">
        <v>799</v>
      </c>
      <c r="N105" s="5">
        <v>2350</v>
      </c>
    </row>
    <row r="106" spans="1:14">
      <c r="A106" s="4" t="s">
        <v>800</v>
      </c>
      <c r="B106" s="4" t="s">
        <v>801</v>
      </c>
      <c r="C106" s="4" t="s">
        <v>802</v>
      </c>
      <c r="D106" s="4" t="s">
        <v>803</v>
      </c>
      <c r="E106" s="4" t="s">
        <v>804</v>
      </c>
      <c r="F106" s="3">
        <v>45930</v>
      </c>
      <c r="G106" s="4" t="s">
        <v>805</v>
      </c>
      <c r="H106" s="5">
        <v>675</v>
      </c>
      <c r="I106" s="3">
        <v>45958</v>
      </c>
      <c r="J106" s="4" t="s">
        <v>806</v>
      </c>
      <c r="K106" s="5">
        <v>675</v>
      </c>
      <c r="L106" s="3">
        <v>45986</v>
      </c>
      <c r="M106" s="4" t="s">
        <v>807</v>
      </c>
      <c r="N106" s="5">
        <v>675</v>
      </c>
    </row>
    <row r="107" spans="1:14">
      <c r="A107" s="4" t="s">
        <v>808</v>
      </c>
      <c r="B107" s="4" t="s">
        <v>809</v>
      </c>
      <c r="C107" s="4" t="s">
        <v>810</v>
      </c>
      <c r="D107" s="4" t="s">
        <v>811</v>
      </c>
      <c r="E107" s="4" t="s">
        <v>812</v>
      </c>
      <c r="F107" s="3">
        <v>45930</v>
      </c>
      <c r="G107" s="4" t="s">
        <v>813</v>
      </c>
      <c r="H107" s="5">
        <v>1000</v>
      </c>
      <c r="I107" s="3">
        <v>45958</v>
      </c>
      <c r="J107" s="4" t="s">
        <v>814</v>
      </c>
      <c r="K107" s="5">
        <v>1000</v>
      </c>
      <c r="L107" s="3">
        <v>45986</v>
      </c>
      <c r="M107" s="4" t="s">
        <v>815</v>
      </c>
      <c r="N107" s="5">
        <v>1000</v>
      </c>
    </row>
    <row r="108" spans="1:14">
      <c r="A108" s="4" t="s">
        <v>816</v>
      </c>
      <c r="B108" s="4" t="s">
        <v>817</v>
      </c>
      <c r="C108" s="4" t="s">
        <v>818</v>
      </c>
      <c r="D108" s="4" t="s">
        <v>819</v>
      </c>
      <c r="E108" s="4" t="s">
        <v>820</v>
      </c>
      <c r="F108" s="3">
        <v>45930</v>
      </c>
      <c r="G108" s="4" t="s">
        <v>821</v>
      </c>
      <c r="H108" s="5">
        <v>1250</v>
      </c>
      <c r="I108" s="3">
        <v>45958</v>
      </c>
      <c r="J108" s="4" t="s">
        <v>822</v>
      </c>
      <c r="K108" s="5">
        <v>1250</v>
      </c>
      <c r="L108" s="3">
        <v>45986</v>
      </c>
      <c r="M108" s="4" t="s">
        <v>823</v>
      </c>
      <c r="N108" s="5">
        <v>1250</v>
      </c>
    </row>
    <row r="109" spans="1:14">
      <c r="A109" s="4" t="s">
        <v>824</v>
      </c>
      <c r="B109" s="4" t="s">
        <v>825</v>
      </c>
      <c r="C109" s="4" t="s">
        <v>826</v>
      </c>
      <c r="D109" s="4" t="s">
        <v>827</v>
      </c>
      <c r="E109" s="4" t="s">
        <v>828</v>
      </c>
      <c r="F109" s="3">
        <v>45930</v>
      </c>
      <c r="G109" s="4" t="s">
        <v>829</v>
      </c>
      <c r="H109" s="5">
        <v>1175</v>
      </c>
      <c r="I109" s="3">
        <v>45958</v>
      </c>
      <c r="J109" s="4" t="s">
        <v>830</v>
      </c>
      <c r="K109" s="5">
        <v>1175</v>
      </c>
      <c r="L109" s="3">
        <v>45986</v>
      </c>
      <c r="M109" s="4" t="s">
        <v>831</v>
      </c>
      <c r="N109" s="5">
        <v>1175</v>
      </c>
    </row>
    <row r="110" spans="1:14">
      <c r="A110" s="4" t="s">
        <v>832</v>
      </c>
      <c r="B110" s="4" t="s">
        <v>832</v>
      </c>
      <c r="C110" s="4" t="s">
        <v>833</v>
      </c>
      <c r="D110" s="4" t="s">
        <v>834</v>
      </c>
      <c r="E110" s="4" t="s">
        <v>835</v>
      </c>
      <c r="F110" s="3">
        <v>45930</v>
      </c>
      <c r="G110" s="4" t="s">
        <v>836</v>
      </c>
      <c r="H110" s="5">
        <v>100</v>
      </c>
      <c r="I110" s="3">
        <v>45958</v>
      </c>
      <c r="J110" s="4" t="s">
        <v>837</v>
      </c>
      <c r="K110" s="5">
        <v>100</v>
      </c>
      <c r="L110" s="3">
        <v>45986</v>
      </c>
      <c r="M110" s="4" t="s">
        <v>838</v>
      </c>
      <c r="N110" s="5">
        <v>100</v>
      </c>
    </row>
    <row r="111" spans="1:14">
      <c r="A111" s="4" t="s">
        <v>839</v>
      </c>
      <c r="B111" s="4" t="s">
        <v>840</v>
      </c>
      <c r="C111" s="4" t="s">
        <v>841</v>
      </c>
      <c r="D111" s="4" t="s">
        <v>842</v>
      </c>
      <c r="E111" s="4" t="s">
        <v>843</v>
      </c>
      <c r="F111" s="3">
        <v>45930</v>
      </c>
      <c r="G111" s="4" t="s">
        <v>844</v>
      </c>
      <c r="H111" s="5">
        <v>175</v>
      </c>
      <c r="I111" s="3">
        <v>45958</v>
      </c>
      <c r="J111" s="4" t="s">
        <v>845</v>
      </c>
      <c r="K111" s="5">
        <v>175</v>
      </c>
      <c r="L111" s="3">
        <v>45986</v>
      </c>
      <c r="M111" s="4" t="s">
        <v>846</v>
      </c>
      <c r="N111" s="5">
        <v>175</v>
      </c>
    </row>
    <row r="112" spans="1:14">
      <c r="A112" s="4" t="s">
        <v>847</v>
      </c>
      <c r="B112" s="4" t="s">
        <v>847</v>
      </c>
      <c r="C112" s="4" t="s">
        <v>848</v>
      </c>
      <c r="D112" s="4" t="s">
        <v>849</v>
      </c>
      <c r="E112" s="4" t="s">
        <v>850</v>
      </c>
      <c r="F112" s="3">
        <v>45930</v>
      </c>
      <c r="G112" s="4" t="s">
        <v>851</v>
      </c>
      <c r="H112" s="5">
        <v>450</v>
      </c>
      <c r="I112" s="3">
        <v>45958</v>
      </c>
      <c r="J112" s="4" t="s">
        <v>852</v>
      </c>
      <c r="K112" s="5">
        <v>450</v>
      </c>
      <c r="L112" s="3">
        <v>45986</v>
      </c>
      <c r="M112" s="4" t="s">
        <v>853</v>
      </c>
      <c r="N112" s="5">
        <v>450</v>
      </c>
    </row>
    <row r="113" spans="1:14">
      <c r="A113" s="4" t="s">
        <v>854</v>
      </c>
      <c r="B113" s="4" t="s">
        <v>855</v>
      </c>
      <c r="C113" s="4" t="s">
        <v>856</v>
      </c>
      <c r="D113" s="4" t="s">
        <v>857</v>
      </c>
      <c r="E113" s="4" t="s">
        <v>858</v>
      </c>
      <c r="F113" s="3">
        <v>45930</v>
      </c>
      <c r="G113" s="4" t="s">
        <v>859</v>
      </c>
      <c r="H113" s="5">
        <v>200</v>
      </c>
      <c r="I113" s="3">
        <v>45958</v>
      </c>
      <c r="J113" s="4" t="s">
        <v>860</v>
      </c>
      <c r="K113" s="5">
        <v>200</v>
      </c>
      <c r="L113" s="3">
        <v>45986</v>
      </c>
      <c r="M113" s="4" t="s">
        <v>861</v>
      </c>
      <c r="N113" s="5">
        <v>200</v>
      </c>
    </row>
    <row r="114" spans="1:14">
      <c r="A114" s="4" t="s">
        <v>862</v>
      </c>
      <c r="B114" s="4" t="s">
        <v>863</v>
      </c>
      <c r="C114" s="4" t="s">
        <v>864</v>
      </c>
      <c r="D114" s="4" t="s">
        <v>865</v>
      </c>
      <c r="E114" s="4" t="s">
        <v>866</v>
      </c>
      <c r="F114" s="3">
        <v>45930</v>
      </c>
      <c r="G114" s="4" t="s">
        <v>867</v>
      </c>
      <c r="H114" s="5">
        <v>400</v>
      </c>
      <c r="I114" s="3">
        <v>45958</v>
      </c>
      <c r="J114" s="4" t="s">
        <v>868</v>
      </c>
      <c r="K114" s="5">
        <v>400</v>
      </c>
      <c r="L114" s="3">
        <v>45986</v>
      </c>
      <c r="M114" s="4" t="s">
        <v>869</v>
      </c>
      <c r="N114" s="5">
        <v>400</v>
      </c>
    </row>
    <row r="115" spans="1:14">
      <c r="A115" s="4" t="s">
        <v>870</v>
      </c>
      <c r="B115" s="4" t="s">
        <v>870</v>
      </c>
      <c r="C115" s="4" t="s">
        <v>871</v>
      </c>
      <c r="D115" s="4" t="s">
        <v>872</v>
      </c>
      <c r="E115" s="4" t="s">
        <v>873</v>
      </c>
      <c r="F115" s="3">
        <v>45930</v>
      </c>
      <c r="G115" s="4" t="s">
        <v>874</v>
      </c>
      <c r="H115" s="5">
        <v>400</v>
      </c>
      <c r="I115" s="3">
        <v>45958</v>
      </c>
      <c r="J115" s="4" t="s">
        <v>875</v>
      </c>
      <c r="K115" s="5">
        <v>400</v>
      </c>
      <c r="L115" s="3">
        <v>45986</v>
      </c>
      <c r="M115" s="4" t="s">
        <v>876</v>
      </c>
      <c r="N115" s="5">
        <v>400</v>
      </c>
    </row>
    <row r="116" spans="1:14">
      <c r="A116" s="4" t="s">
        <v>877</v>
      </c>
      <c r="B116" s="4" t="s">
        <v>878</v>
      </c>
      <c r="C116" s="4" t="s">
        <v>879</v>
      </c>
      <c r="D116" s="4" t="s">
        <v>880</v>
      </c>
      <c r="E116" s="4" t="s">
        <v>881</v>
      </c>
      <c r="F116" s="3">
        <v>45930</v>
      </c>
      <c r="G116" s="4" t="s">
        <v>882</v>
      </c>
      <c r="H116" s="5">
        <v>1700</v>
      </c>
      <c r="I116" s="3">
        <v>45958</v>
      </c>
      <c r="J116" s="4" t="s">
        <v>883</v>
      </c>
      <c r="K116" s="5">
        <v>1700</v>
      </c>
      <c r="L116" s="3">
        <v>45986</v>
      </c>
      <c r="M116" s="4" t="s">
        <v>884</v>
      </c>
      <c r="N116" s="5">
        <v>1700</v>
      </c>
    </row>
    <row r="117" spans="1:14">
      <c r="A117" s="4" t="s">
        <v>885</v>
      </c>
      <c r="B117" s="4" t="s">
        <v>886</v>
      </c>
      <c r="C117" s="4" t="s">
        <v>887</v>
      </c>
      <c r="D117" s="4" t="s">
        <v>888</v>
      </c>
      <c r="E117" s="4" t="s">
        <v>889</v>
      </c>
      <c r="F117" s="3">
        <v>45930</v>
      </c>
      <c r="G117" s="4" t="s">
        <v>890</v>
      </c>
      <c r="H117" s="5">
        <v>1000</v>
      </c>
      <c r="I117" s="3">
        <v>45958</v>
      </c>
      <c r="J117" s="4" t="s">
        <v>891</v>
      </c>
      <c r="K117" s="5">
        <v>1000</v>
      </c>
      <c r="L117" s="3">
        <v>45986</v>
      </c>
      <c r="M117" s="4" t="s">
        <v>892</v>
      </c>
      <c r="N117" s="5">
        <v>1000</v>
      </c>
    </row>
    <row r="118" spans="1:14">
      <c r="A118" s="4" t="s">
        <v>893</v>
      </c>
      <c r="B118" s="4" t="s">
        <v>893</v>
      </c>
      <c r="C118" s="4" t="s">
        <v>894</v>
      </c>
      <c r="D118" s="4" t="s">
        <v>895</v>
      </c>
      <c r="E118" s="4" t="s">
        <v>896</v>
      </c>
      <c r="F118" s="3">
        <v>45930</v>
      </c>
      <c r="G118" s="4" t="s">
        <v>897</v>
      </c>
      <c r="H118" s="5">
        <v>700</v>
      </c>
      <c r="I118" s="3">
        <v>45958</v>
      </c>
      <c r="J118" s="4" t="s">
        <v>898</v>
      </c>
      <c r="K118" s="5">
        <v>700</v>
      </c>
      <c r="L118" s="3">
        <v>45986</v>
      </c>
      <c r="M118" s="4" t="s">
        <v>899</v>
      </c>
      <c r="N118" s="5">
        <v>700</v>
      </c>
    </row>
    <row r="119" spans="1:14">
      <c r="A119" s="4" t="s">
        <v>900</v>
      </c>
      <c r="B119" s="4" t="s">
        <v>900</v>
      </c>
      <c r="C119" s="4" t="s">
        <v>901</v>
      </c>
      <c r="D119" s="4" t="s">
        <v>902</v>
      </c>
      <c r="E119" s="4" t="s">
        <v>903</v>
      </c>
      <c r="F119" s="3">
        <v>45930</v>
      </c>
      <c r="G119" s="4" t="s">
        <v>904</v>
      </c>
      <c r="H119" s="5">
        <v>450</v>
      </c>
      <c r="I119" s="3">
        <v>45958</v>
      </c>
      <c r="J119" s="4" t="s">
        <v>905</v>
      </c>
      <c r="K119" s="5">
        <v>450</v>
      </c>
      <c r="L119" s="3">
        <v>45986</v>
      </c>
      <c r="M119" s="4" t="s">
        <v>906</v>
      </c>
      <c r="N119" s="5">
        <v>450</v>
      </c>
    </row>
    <row r="120" spans="1:14">
      <c r="A120" s="4" t="s">
        <v>907</v>
      </c>
      <c r="B120" s="4" t="s">
        <v>908</v>
      </c>
      <c r="C120" s="4" t="s">
        <v>909</v>
      </c>
      <c r="D120" s="4" t="s">
        <v>910</v>
      </c>
      <c r="E120" s="4" t="s">
        <v>911</v>
      </c>
      <c r="F120" s="3">
        <v>45930</v>
      </c>
      <c r="G120" s="4" t="s">
        <v>912</v>
      </c>
      <c r="H120" s="5">
        <v>425</v>
      </c>
      <c r="I120" s="3">
        <v>45958</v>
      </c>
      <c r="J120" s="4" t="s">
        <v>913</v>
      </c>
      <c r="K120" s="5">
        <v>425</v>
      </c>
      <c r="L120" s="3">
        <v>45986</v>
      </c>
      <c r="M120" s="4" t="s">
        <v>914</v>
      </c>
      <c r="N120" s="5">
        <v>425</v>
      </c>
    </row>
    <row r="121" spans="1:14">
      <c r="A121" s="4" t="s">
        <v>915</v>
      </c>
      <c r="B121" s="4" t="s">
        <v>915</v>
      </c>
      <c r="C121" s="4" t="s">
        <v>916</v>
      </c>
      <c r="D121" s="4" t="s">
        <v>917</v>
      </c>
      <c r="E121" s="4" t="s">
        <v>918</v>
      </c>
      <c r="F121" s="3">
        <v>45930</v>
      </c>
      <c r="G121" s="4" t="s">
        <v>919</v>
      </c>
      <c r="H121" s="5">
        <v>175</v>
      </c>
      <c r="I121" s="3">
        <v>45958</v>
      </c>
      <c r="J121" s="4" t="s">
        <v>920</v>
      </c>
      <c r="K121" s="5">
        <v>175</v>
      </c>
      <c r="L121" s="3">
        <v>45986</v>
      </c>
      <c r="M121" s="4" t="s">
        <v>921</v>
      </c>
      <c r="N121" s="5">
        <v>175</v>
      </c>
    </row>
    <row r="122" spans="1:14">
      <c r="A122" s="4" t="s">
        <v>922</v>
      </c>
      <c r="B122" s="4" t="s">
        <v>922</v>
      </c>
      <c r="C122" s="4" t="s">
        <v>923</v>
      </c>
      <c r="D122" s="4" t="s">
        <v>924</v>
      </c>
      <c r="E122" s="4" t="s">
        <v>925</v>
      </c>
      <c r="F122" s="3">
        <v>45930</v>
      </c>
      <c r="G122" s="4" t="s">
        <v>926</v>
      </c>
      <c r="H122" s="5">
        <v>4462</v>
      </c>
      <c r="I122" s="3">
        <v>45958</v>
      </c>
      <c r="J122" s="4" t="s">
        <v>927</v>
      </c>
      <c r="K122" s="5">
        <v>4462</v>
      </c>
      <c r="L122" s="3">
        <v>45986</v>
      </c>
      <c r="M122" s="4" t="s">
        <v>928</v>
      </c>
      <c r="N122" s="5">
        <v>4462</v>
      </c>
    </row>
    <row r="123" spans="1:14">
      <c r="A123" s="4" t="s">
        <v>929</v>
      </c>
      <c r="B123" s="4" t="s">
        <v>929</v>
      </c>
      <c r="C123" s="4" t="s">
        <v>930</v>
      </c>
      <c r="D123" s="4" t="s">
        <v>931</v>
      </c>
      <c r="E123" s="4" t="s">
        <v>932</v>
      </c>
      <c r="F123" s="3">
        <v>45930</v>
      </c>
      <c r="G123" s="4" t="s">
        <v>933</v>
      </c>
      <c r="H123" s="5">
        <v>150</v>
      </c>
      <c r="I123" s="3">
        <v>45958</v>
      </c>
      <c r="J123" s="4" t="s">
        <v>934</v>
      </c>
      <c r="K123" s="5">
        <v>150</v>
      </c>
      <c r="L123" s="3">
        <v>45986</v>
      </c>
      <c r="M123" s="4" t="s">
        <v>935</v>
      </c>
      <c r="N123" s="5">
        <v>150</v>
      </c>
    </row>
    <row r="124" spans="1:14">
      <c r="A124" s="4" t="s">
        <v>936</v>
      </c>
      <c r="B124" s="4" t="s">
        <v>936</v>
      </c>
      <c r="C124" s="4" t="s">
        <v>937</v>
      </c>
      <c r="D124" s="4" t="s">
        <v>938</v>
      </c>
      <c r="E124" s="4" t="s">
        <v>939</v>
      </c>
      <c r="F124" s="3">
        <v>45930</v>
      </c>
      <c r="G124" s="4" t="s">
        <v>940</v>
      </c>
      <c r="H124" s="5">
        <v>225</v>
      </c>
      <c r="I124" s="3">
        <v>45958</v>
      </c>
      <c r="J124" s="4" t="s">
        <v>941</v>
      </c>
      <c r="K124" s="5">
        <v>225</v>
      </c>
      <c r="L124" s="3">
        <v>45986</v>
      </c>
      <c r="M124" s="4" t="s">
        <v>942</v>
      </c>
      <c r="N124" s="5">
        <v>225</v>
      </c>
    </row>
    <row r="125" spans="1:14">
      <c r="A125" s="4" t="s">
        <v>943</v>
      </c>
      <c r="B125" s="4" t="s">
        <v>944</v>
      </c>
      <c r="C125" s="4" t="s">
        <v>945</v>
      </c>
      <c r="D125" s="4" t="s">
        <v>946</v>
      </c>
      <c r="E125" s="4" t="s">
        <v>947</v>
      </c>
      <c r="F125" s="3">
        <v>45930</v>
      </c>
      <c r="G125" s="4" t="s">
        <v>948</v>
      </c>
      <c r="H125" s="5">
        <v>800</v>
      </c>
      <c r="I125" s="3">
        <v>45958</v>
      </c>
      <c r="J125" s="4" t="s">
        <v>949</v>
      </c>
      <c r="K125" s="5">
        <v>800</v>
      </c>
      <c r="L125" s="3">
        <v>45986</v>
      </c>
      <c r="M125" s="4" t="s">
        <v>950</v>
      </c>
      <c r="N125" s="5">
        <v>800</v>
      </c>
    </row>
    <row r="126" spans="1:14">
      <c r="A126" s="4" t="s">
        <v>951</v>
      </c>
      <c r="B126" s="4" t="s">
        <v>952</v>
      </c>
      <c r="C126" s="4" t="s">
        <v>953</v>
      </c>
      <c r="D126" s="4" t="s">
        <v>954</v>
      </c>
      <c r="E126" s="4" t="s">
        <v>955</v>
      </c>
      <c r="F126" s="3">
        <v>45930</v>
      </c>
      <c r="G126" s="4" t="s">
        <v>956</v>
      </c>
      <c r="H126" s="5">
        <v>525</v>
      </c>
      <c r="I126" s="3">
        <v>45958</v>
      </c>
      <c r="J126" s="4" t="s">
        <v>957</v>
      </c>
      <c r="K126" s="5">
        <v>525</v>
      </c>
      <c r="L126" s="3">
        <v>45986</v>
      </c>
      <c r="M126" s="4" t="s">
        <v>958</v>
      </c>
      <c r="N126" s="5">
        <v>525</v>
      </c>
    </row>
    <row r="127" spans="1:14">
      <c r="A127" s="4" t="s">
        <v>959</v>
      </c>
      <c r="B127" s="4" t="s">
        <v>960</v>
      </c>
      <c r="C127" s="4" t="s">
        <v>961</v>
      </c>
      <c r="D127" s="4" t="s">
        <v>962</v>
      </c>
      <c r="E127" s="4" t="s">
        <v>963</v>
      </c>
      <c r="F127" s="3">
        <v>45930</v>
      </c>
      <c r="G127" s="4" t="s">
        <v>964</v>
      </c>
      <c r="H127" s="5">
        <v>175</v>
      </c>
      <c r="I127" s="3">
        <v>45958</v>
      </c>
      <c r="J127" s="4" t="s">
        <v>965</v>
      </c>
      <c r="K127" s="5">
        <v>175</v>
      </c>
      <c r="L127" s="3">
        <v>45986</v>
      </c>
      <c r="M127" s="4" t="s">
        <v>966</v>
      </c>
      <c r="N127" s="5">
        <v>175</v>
      </c>
    </row>
    <row r="128" spans="1:14">
      <c r="A128" s="4" t="s">
        <v>967</v>
      </c>
      <c r="B128" s="4" t="s">
        <v>967</v>
      </c>
      <c r="C128" s="4" t="s">
        <v>968</v>
      </c>
      <c r="D128" s="4" t="s">
        <v>969</v>
      </c>
      <c r="E128" s="4" t="s">
        <v>970</v>
      </c>
      <c r="F128" s="3">
        <v>45930</v>
      </c>
      <c r="G128" s="4" t="s">
        <v>971</v>
      </c>
      <c r="H128" s="5">
        <v>125</v>
      </c>
      <c r="I128" s="3">
        <v>45958</v>
      </c>
      <c r="J128" s="4" t="s">
        <v>972</v>
      </c>
      <c r="K128" s="5">
        <v>125</v>
      </c>
      <c r="L128" s="3">
        <v>45986</v>
      </c>
      <c r="M128" s="4" t="s">
        <v>973</v>
      </c>
      <c r="N128" s="5">
        <v>125</v>
      </c>
    </row>
    <row r="129" spans="1:14">
      <c r="A129" s="4" t="s">
        <v>974</v>
      </c>
      <c r="B129" s="4" t="s">
        <v>975</v>
      </c>
      <c r="C129" s="4" t="s">
        <v>976</v>
      </c>
      <c r="D129" s="4" t="s">
        <v>977</v>
      </c>
      <c r="E129" s="4" t="s">
        <v>978</v>
      </c>
      <c r="F129" s="3">
        <v>45930</v>
      </c>
      <c r="G129" s="4" t="s">
        <v>979</v>
      </c>
      <c r="H129" s="5">
        <v>3000</v>
      </c>
      <c r="I129" s="3">
        <v>45958</v>
      </c>
      <c r="J129" s="4" t="s">
        <v>980</v>
      </c>
      <c r="K129" s="5">
        <v>3000</v>
      </c>
      <c r="L129" s="3">
        <v>45986</v>
      </c>
      <c r="M129" s="4" t="s">
        <v>981</v>
      </c>
      <c r="N129" s="5">
        <v>3000</v>
      </c>
    </row>
    <row r="130" spans="1:14">
      <c r="A130" s="4" t="s">
        <v>982</v>
      </c>
      <c r="B130" s="4" t="s">
        <v>983</v>
      </c>
      <c r="C130" s="4" t="s">
        <v>984</v>
      </c>
      <c r="D130" s="4" t="s">
        <v>985</v>
      </c>
      <c r="E130" s="4" t="s">
        <v>986</v>
      </c>
      <c r="F130" s="3">
        <v>45930</v>
      </c>
      <c r="G130" s="4" t="s">
        <v>987</v>
      </c>
      <c r="H130" s="5">
        <v>200</v>
      </c>
      <c r="I130" s="3">
        <v>45958</v>
      </c>
      <c r="J130" s="4" t="s">
        <v>988</v>
      </c>
      <c r="K130" s="5">
        <v>200</v>
      </c>
      <c r="L130" s="3">
        <v>45986</v>
      </c>
      <c r="M130" s="4" t="s">
        <v>989</v>
      </c>
      <c r="N130" s="5">
        <v>200</v>
      </c>
    </row>
    <row r="131" spans="1:14">
      <c r="A131" s="4" t="s">
        <v>990</v>
      </c>
      <c r="B131" s="4" t="s">
        <v>991</v>
      </c>
      <c r="C131" s="4" t="s">
        <v>992</v>
      </c>
      <c r="D131" s="4" t="s">
        <v>993</v>
      </c>
      <c r="E131" s="4" t="s">
        <v>994</v>
      </c>
      <c r="F131" s="3">
        <v>45930</v>
      </c>
      <c r="G131" s="4" t="s">
        <v>995</v>
      </c>
      <c r="H131" s="5">
        <v>6150</v>
      </c>
      <c r="I131" s="3">
        <v>45958</v>
      </c>
      <c r="J131" s="4" t="s">
        <v>996</v>
      </c>
      <c r="K131" s="5">
        <v>6150</v>
      </c>
      <c r="L131" s="3">
        <v>45986</v>
      </c>
      <c r="M131" s="4" t="s">
        <v>997</v>
      </c>
      <c r="N131" s="5">
        <v>6150</v>
      </c>
    </row>
    <row r="132" spans="1:14">
      <c r="A132" s="4" t="s">
        <v>998</v>
      </c>
      <c r="B132" s="4" t="s">
        <v>999</v>
      </c>
      <c r="C132" s="4" t="s">
        <v>1000</v>
      </c>
      <c r="D132" s="4" t="s">
        <v>1001</v>
      </c>
      <c r="E132" s="4" t="s">
        <v>1002</v>
      </c>
      <c r="F132" s="3">
        <v>45930</v>
      </c>
      <c r="G132" s="4" t="s">
        <v>1003</v>
      </c>
      <c r="H132" s="5">
        <v>275</v>
      </c>
      <c r="I132" s="3">
        <v>45958</v>
      </c>
      <c r="J132" s="4" t="s">
        <v>1004</v>
      </c>
      <c r="K132" s="5">
        <v>275</v>
      </c>
      <c r="L132" s="3">
        <v>45986</v>
      </c>
      <c r="M132" s="4" t="s">
        <v>1005</v>
      </c>
      <c r="N132" s="5">
        <v>275</v>
      </c>
    </row>
    <row r="133" spans="1:14">
      <c r="A133" s="4" t="s">
        <v>1006</v>
      </c>
      <c r="B133" s="4" t="s">
        <v>1007</v>
      </c>
      <c r="C133" s="4" t="s">
        <v>1008</v>
      </c>
      <c r="D133" s="4" t="s">
        <v>1009</v>
      </c>
      <c r="E133" s="4" t="s">
        <v>1010</v>
      </c>
      <c r="F133" s="3">
        <v>45930</v>
      </c>
      <c r="G133" s="4" t="s">
        <v>1011</v>
      </c>
      <c r="H133" s="5">
        <v>1200</v>
      </c>
      <c r="I133" s="3">
        <v>45958</v>
      </c>
      <c r="J133" s="4" t="s">
        <v>1012</v>
      </c>
      <c r="K133" s="5">
        <v>1200</v>
      </c>
      <c r="L133" s="3">
        <v>45986</v>
      </c>
      <c r="M133" s="4" t="s">
        <v>1013</v>
      </c>
      <c r="N133" s="5">
        <v>1200</v>
      </c>
    </row>
    <row r="134" spans="1:14">
      <c r="A134" s="4" t="s">
        <v>1014</v>
      </c>
      <c r="B134" s="4" t="s">
        <v>1015</v>
      </c>
      <c r="C134" s="4" t="s">
        <v>1016</v>
      </c>
      <c r="D134" s="4" t="s">
        <v>1017</v>
      </c>
      <c r="E134" s="4" t="s">
        <v>1018</v>
      </c>
      <c r="F134" s="3">
        <v>45930</v>
      </c>
      <c r="G134" s="4" t="s">
        <v>1019</v>
      </c>
      <c r="H134" s="5">
        <v>50</v>
      </c>
      <c r="I134" s="3">
        <v>45958</v>
      </c>
      <c r="J134" s="4" t="s">
        <v>1020</v>
      </c>
      <c r="K134" s="5">
        <v>50</v>
      </c>
      <c r="L134" s="3">
        <v>45986</v>
      </c>
      <c r="M134" s="4" t="s">
        <v>1021</v>
      </c>
      <c r="N134" s="5">
        <v>50</v>
      </c>
    </row>
    <row r="135" spans="1:14">
      <c r="A135" s="4" t="s">
        <v>1022</v>
      </c>
      <c r="B135" s="4" t="s">
        <v>1023</v>
      </c>
      <c r="C135" s="4" t="s">
        <v>1024</v>
      </c>
      <c r="D135" s="4" t="s">
        <v>1025</v>
      </c>
      <c r="E135" s="4" t="s">
        <v>1026</v>
      </c>
      <c r="F135" s="3">
        <v>45930</v>
      </c>
      <c r="G135" s="4" t="s">
        <v>1027</v>
      </c>
      <c r="H135" s="5">
        <v>275</v>
      </c>
      <c r="I135" s="3">
        <v>45958</v>
      </c>
      <c r="J135" s="4" t="s">
        <v>1028</v>
      </c>
      <c r="K135" s="5">
        <v>275</v>
      </c>
      <c r="L135" s="3">
        <v>45986</v>
      </c>
      <c r="M135" s="4" t="s">
        <v>1029</v>
      </c>
      <c r="N135" s="5">
        <v>275</v>
      </c>
    </row>
    <row r="136" spans="1:14">
      <c r="A136" s="4" t="s">
        <v>1030</v>
      </c>
      <c r="B136" s="4" t="s">
        <v>1031</v>
      </c>
      <c r="C136" s="4" t="s">
        <v>1032</v>
      </c>
      <c r="D136" s="4" t="s">
        <v>1033</v>
      </c>
      <c r="E136" s="4" t="s">
        <v>1034</v>
      </c>
      <c r="F136" s="3">
        <v>45930</v>
      </c>
      <c r="G136" s="4" t="s">
        <v>1035</v>
      </c>
      <c r="H136" s="5">
        <v>3750</v>
      </c>
      <c r="I136" s="3">
        <v>45958</v>
      </c>
      <c r="J136" s="4" t="s">
        <v>1036</v>
      </c>
      <c r="K136" s="5">
        <v>3750</v>
      </c>
      <c r="L136" s="3">
        <v>45986</v>
      </c>
      <c r="M136" s="4" t="s">
        <v>1037</v>
      </c>
      <c r="N136" s="5">
        <v>3750</v>
      </c>
    </row>
    <row r="137" spans="1:14">
      <c r="A137" s="4" t="s">
        <v>1038</v>
      </c>
      <c r="B137" s="4" t="s">
        <v>1038</v>
      </c>
      <c r="C137" s="4" t="s">
        <v>1039</v>
      </c>
      <c r="D137" s="4" t="s">
        <v>1040</v>
      </c>
      <c r="E137" s="4" t="s">
        <v>1041</v>
      </c>
      <c r="F137" s="3">
        <v>45930</v>
      </c>
      <c r="G137" s="4" t="s">
        <v>1042</v>
      </c>
      <c r="H137" s="5">
        <v>6500</v>
      </c>
      <c r="I137" s="3">
        <v>45958</v>
      </c>
      <c r="J137" s="4" t="s">
        <v>1043</v>
      </c>
      <c r="K137" s="5">
        <v>6500</v>
      </c>
      <c r="L137" s="3">
        <v>45986</v>
      </c>
      <c r="M137" s="4" t="s">
        <v>1044</v>
      </c>
      <c r="N137" s="5">
        <v>6500</v>
      </c>
    </row>
    <row r="138" spans="1:14">
      <c r="A138" s="4" t="s">
        <v>1045</v>
      </c>
      <c r="B138" s="4" t="s">
        <v>1046</v>
      </c>
      <c r="C138" s="4" t="s">
        <v>1047</v>
      </c>
      <c r="D138" s="4" t="s">
        <v>1048</v>
      </c>
      <c r="E138" s="4" t="s">
        <v>1049</v>
      </c>
      <c r="F138" s="3">
        <v>45930</v>
      </c>
      <c r="G138" s="4" t="s">
        <v>1050</v>
      </c>
      <c r="H138" s="5">
        <v>500</v>
      </c>
      <c r="I138" s="3">
        <v>45958</v>
      </c>
      <c r="J138" s="4" t="s">
        <v>1051</v>
      </c>
      <c r="K138" s="5">
        <v>500</v>
      </c>
      <c r="L138" s="3">
        <v>45986</v>
      </c>
      <c r="M138" s="4" t="s">
        <v>1052</v>
      </c>
      <c r="N138" s="5">
        <v>500</v>
      </c>
    </row>
    <row r="139" spans="1:14">
      <c r="A139" s="4" t="s">
        <v>1053</v>
      </c>
      <c r="B139" s="4" t="s">
        <v>1053</v>
      </c>
      <c r="C139" s="4" t="s">
        <v>1054</v>
      </c>
      <c r="D139" s="4" t="s">
        <v>1055</v>
      </c>
      <c r="E139" s="4" t="s">
        <v>1056</v>
      </c>
      <c r="F139" s="3">
        <v>45930</v>
      </c>
      <c r="G139" s="4" t="s">
        <v>1057</v>
      </c>
      <c r="H139" s="5">
        <v>6400</v>
      </c>
      <c r="I139" s="3">
        <v>45958</v>
      </c>
      <c r="J139" s="4" t="s">
        <v>1058</v>
      </c>
      <c r="K139" s="5">
        <v>6400</v>
      </c>
      <c r="L139" s="3">
        <v>45986</v>
      </c>
      <c r="M139" s="4" t="s">
        <v>1059</v>
      </c>
      <c r="N139" s="5">
        <v>6400</v>
      </c>
    </row>
    <row r="140" spans="1:14">
      <c r="A140" s="4" t="s">
        <v>1060</v>
      </c>
      <c r="B140" s="4" t="s">
        <v>1061</v>
      </c>
      <c r="C140" s="4" t="s">
        <v>1062</v>
      </c>
      <c r="D140" s="4" t="s">
        <v>1063</v>
      </c>
      <c r="E140" s="4" t="s">
        <v>1064</v>
      </c>
      <c r="F140" s="3">
        <v>45930</v>
      </c>
      <c r="G140" s="4" t="s">
        <v>1065</v>
      </c>
      <c r="H140" s="5">
        <v>2700</v>
      </c>
      <c r="I140" s="3">
        <v>45958</v>
      </c>
      <c r="J140" s="4" t="s">
        <v>1066</v>
      </c>
      <c r="K140" s="5">
        <v>2700</v>
      </c>
      <c r="L140" s="3">
        <v>45986</v>
      </c>
      <c r="M140" s="4" t="s">
        <v>1067</v>
      </c>
      <c r="N140" s="5">
        <v>2700</v>
      </c>
    </row>
    <row r="141" spans="1:14">
      <c r="A141" s="4" t="s">
        <v>1068</v>
      </c>
      <c r="B141" s="4" t="s">
        <v>1068</v>
      </c>
      <c r="C141" s="4" t="s">
        <v>1069</v>
      </c>
      <c r="D141" s="4" t="s">
        <v>1070</v>
      </c>
      <c r="E141" s="4" t="s">
        <v>1071</v>
      </c>
      <c r="F141" s="3">
        <v>45930</v>
      </c>
      <c r="G141" s="4" t="s">
        <v>1072</v>
      </c>
      <c r="H141" s="5">
        <v>13500</v>
      </c>
      <c r="I141" s="3">
        <v>45958</v>
      </c>
      <c r="J141" s="4" t="s">
        <v>1073</v>
      </c>
      <c r="K141" s="5">
        <v>13500</v>
      </c>
      <c r="L141" s="3">
        <v>45986</v>
      </c>
      <c r="M141" s="4" t="s">
        <v>1074</v>
      </c>
      <c r="N141" s="5">
        <v>13500</v>
      </c>
    </row>
    <row r="142" spans="1:14">
      <c r="A142" s="4" t="s">
        <v>1075</v>
      </c>
      <c r="B142" s="4" t="s">
        <v>1075</v>
      </c>
      <c r="C142" s="4" t="s">
        <v>1076</v>
      </c>
      <c r="D142" s="4" t="s">
        <v>1077</v>
      </c>
      <c r="E142" s="4" t="s">
        <v>1078</v>
      </c>
      <c r="F142" s="3">
        <v>45930</v>
      </c>
      <c r="G142" s="4" t="s">
        <v>1079</v>
      </c>
      <c r="H142" s="5">
        <v>1500</v>
      </c>
      <c r="I142" s="3">
        <v>45958</v>
      </c>
      <c r="J142" s="4" t="s">
        <v>1080</v>
      </c>
      <c r="K142" s="5">
        <v>1500</v>
      </c>
      <c r="L142" s="3">
        <v>45986</v>
      </c>
      <c r="M142" s="4" t="s">
        <v>1081</v>
      </c>
      <c r="N142" s="5">
        <v>1500</v>
      </c>
    </row>
    <row r="143" spans="1:14">
      <c r="A143" s="4" t="s">
        <v>1082</v>
      </c>
      <c r="B143" s="4" t="s">
        <v>1082</v>
      </c>
      <c r="C143" s="4" t="s">
        <v>1083</v>
      </c>
      <c r="D143" s="4" t="s">
        <v>1084</v>
      </c>
      <c r="E143" s="4" t="s">
        <v>1085</v>
      </c>
      <c r="F143" s="3">
        <v>45930</v>
      </c>
      <c r="G143" s="4" t="s">
        <v>1086</v>
      </c>
      <c r="H143" s="5">
        <v>75</v>
      </c>
      <c r="I143" s="3">
        <v>45958</v>
      </c>
      <c r="J143" s="4" t="s">
        <v>1087</v>
      </c>
      <c r="K143" s="5">
        <v>75</v>
      </c>
      <c r="L143" s="3">
        <v>45986</v>
      </c>
      <c r="M143" s="4" t="s">
        <v>1088</v>
      </c>
      <c r="N143" s="5">
        <v>75</v>
      </c>
    </row>
    <row r="144" spans="1:14">
      <c r="A144" s="4" t="s">
        <v>1089</v>
      </c>
      <c r="B144" s="4" t="s">
        <v>1089</v>
      </c>
      <c r="C144" s="4" t="s">
        <v>1090</v>
      </c>
      <c r="D144" s="4" t="s">
        <v>1091</v>
      </c>
      <c r="E144" s="4" t="s">
        <v>1092</v>
      </c>
      <c r="F144" s="3">
        <v>45930</v>
      </c>
      <c r="G144" s="4" t="s">
        <v>1093</v>
      </c>
      <c r="H144" s="5">
        <v>3125</v>
      </c>
      <c r="I144" s="3">
        <v>45958</v>
      </c>
      <c r="J144" s="4" t="s">
        <v>1094</v>
      </c>
      <c r="K144" s="5">
        <v>3125</v>
      </c>
      <c r="L144" s="3">
        <v>45986</v>
      </c>
      <c r="M144" s="4" t="s">
        <v>1095</v>
      </c>
      <c r="N144" s="5">
        <v>3125</v>
      </c>
    </row>
    <row r="145" spans="1:14">
      <c r="A145" s="4" t="s">
        <v>1096</v>
      </c>
      <c r="B145" s="4" t="s">
        <v>1097</v>
      </c>
      <c r="C145" s="4" t="s">
        <v>1098</v>
      </c>
      <c r="D145" s="4" t="s">
        <v>1099</v>
      </c>
      <c r="E145" s="4" t="s">
        <v>1100</v>
      </c>
      <c r="F145" s="3">
        <v>45930</v>
      </c>
      <c r="G145" s="4" t="s">
        <v>1101</v>
      </c>
      <c r="H145" s="5">
        <v>350</v>
      </c>
      <c r="I145" s="3">
        <v>45958</v>
      </c>
      <c r="J145" s="4" t="s">
        <v>1102</v>
      </c>
      <c r="K145" s="5">
        <v>350</v>
      </c>
      <c r="L145" s="3">
        <v>45986</v>
      </c>
      <c r="M145" s="4" t="s">
        <v>1103</v>
      </c>
      <c r="N145" s="5">
        <v>350</v>
      </c>
    </row>
    <row r="146" spans="1:14">
      <c r="A146" s="4" t="s">
        <v>1104</v>
      </c>
      <c r="B146" s="4" t="s">
        <v>1104</v>
      </c>
      <c r="C146" s="4" t="s">
        <v>1105</v>
      </c>
      <c r="D146" s="4" t="s">
        <v>1106</v>
      </c>
      <c r="E146" s="4" t="s">
        <v>1107</v>
      </c>
      <c r="F146" s="3">
        <v>45930</v>
      </c>
      <c r="G146" s="4" t="s">
        <v>1108</v>
      </c>
      <c r="H146" s="5">
        <v>75</v>
      </c>
      <c r="I146" s="3">
        <v>45958</v>
      </c>
      <c r="J146" s="4" t="s">
        <v>1109</v>
      </c>
      <c r="K146" s="5">
        <v>75</v>
      </c>
      <c r="L146" s="3">
        <v>45986</v>
      </c>
      <c r="M146" s="4" t="s">
        <v>1110</v>
      </c>
      <c r="N146" s="5">
        <v>75</v>
      </c>
    </row>
    <row r="147" spans="1:14">
      <c r="A147" s="4" t="s">
        <v>1111</v>
      </c>
      <c r="B147" s="4" t="s">
        <v>1112</v>
      </c>
      <c r="C147" s="4" t="s">
        <v>1113</v>
      </c>
      <c r="D147" s="4" t="s">
        <v>1114</v>
      </c>
      <c r="E147" s="4" t="s">
        <v>1115</v>
      </c>
      <c r="F147" s="3">
        <v>45930</v>
      </c>
      <c r="G147" s="4" t="s">
        <v>1116</v>
      </c>
      <c r="H147" s="5">
        <v>1400</v>
      </c>
      <c r="I147" s="3">
        <v>45958</v>
      </c>
      <c r="J147" s="4" t="s">
        <v>1117</v>
      </c>
      <c r="K147" s="5">
        <v>1400</v>
      </c>
      <c r="L147" s="3">
        <v>45986</v>
      </c>
      <c r="M147" s="4" t="s">
        <v>1118</v>
      </c>
      <c r="N147" s="5">
        <v>1400</v>
      </c>
    </row>
    <row r="148" spans="1:14">
      <c r="A148" s="4" t="s">
        <v>1119</v>
      </c>
      <c r="B148" s="4" t="s">
        <v>1119</v>
      </c>
      <c r="C148" s="4" t="s">
        <v>1120</v>
      </c>
      <c r="D148" s="4" t="s">
        <v>1121</v>
      </c>
      <c r="E148" s="4" t="s">
        <v>1122</v>
      </c>
      <c r="F148" s="3">
        <v>45930</v>
      </c>
      <c r="G148" s="4" t="s">
        <v>1123</v>
      </c>
      <c r="H148" s="5">
        <v>2250</v>
      </c>
      <c r="I148" s="3">
        <v>45958</v>
      </c>
      <c r="J148" s="4" t="s">
        <v>1124</v>
      </c>
      <c r="K148" s="5">
        <v>2250</v>
      </c>
      <c r="L148" s="3">
        <v>45986</v>
      </c>
      <c r="M148" s="4" t="s">
        <v>1125</v>
      </c>
      <c r="N148" s="5">
        <v>2250</v>
      </c>
    </row>
    <row r="149" spans="1:14">
      <c r="A149" s="4" t="s">
        <v>1126</v>
      </c>
      <c r="B149" s="4" t="s">
        <v>1127</v>
      </c>
      <c r="C149" s="4" t="s">
        <v>1128</v>
      </c>
      <c r="D149" s="4" t="s">
        <v>1129</v>
      </c>
      <c r="E149" s="4" t="s">
        <v>1130</v>
      </c>
      <c r="F149" s="3">
        <v>45930</v>
      </c>
      <c r="G149" s="4" t="s">
        <v>1131</v>
      </c>
      <c r="H149" s="5">
        <v>15</v>
      </c>
      <c r="I149" s="3">
        <v>45958</v>
      </c>
      <c r="J149" s="4" t="s">
        <v>1132</v>
      </c>
      <c r="K149" s="5">
        <v>15</v>
      </c>
      <c r="L149" s="3">
        <v>45986</v>
      </c>
      <c r="M149" s="4" t="s">
        <v>1133</v>
      </c>
      <c r="N149" s="5">
        <v>15</v>
      </c>
    </row>
    <row r="150" spans="1:14">
      <c r="A150" s="4" t="s">
        <v>1134</v>
      </c>
      <c r="B150" s="4" t="s">
        <v>1135</v>
      </c>
      <c r="C150" s="4" t="s">
        <v>1136</v>
      </c>
      <c r="D150" s="4" t="s">
        <v>1137</v>
      </c>
      <c r="E150" s="4" t="s">
        <v>1138</v>
      </c>
      <c r="F150" s="3">
        <v>45930</v>
      </c>
      <c r="G150" s="4" t="s">
        <v>1139</v>
      </c>
      <c r="H150" s="5">
        <v>300</v>
      </c>
      <c r="I150" s="3">
        <v>45958</v>
      </c>
      <c r="J150" s="4" t="s">
        <v>1140</v>
      </c>
      <c r="K150" s="5">
        <v>300</v>
      </c>
      <c r="L150" s="3">
        <v>45986</v>
      </c>
      <c r="M150" s="4" t="s">
        <v>1141</v>
      </c>
      <c r="N150" s="5">
        <v>300</v>
      </c>
    </row>
    <row r="151" spans="1:14">
      <c r="A151" s="4" t="s">
        <v>1142</v>
      </c>
      <c r="B151" s="4" t="s">
        <v>1142</v>
      </c>
      <c r="C151" s="4" t="s">
        <v>1143</v>
      </c>
      <c r="D151" s="4" t="s">
        <v>1144</v>
      </c>
      <c r="E151" s="4" t="s">
        <v>1145</v>
      </c>
      <c r="F151" s="3">
        <v>45930</v>
      </c>
      <c r="G151" s="4" t="s">
        <v>1146</v>
      </c>
      <c r="H151" s="5">
        <v>725</v>
      </c>
      <c r="I151" s="3">
        <v>45958</v>
      </c>
      <c r="J151" s="4" t="s">
        <v>1147</v>
      </c>
      <c r="K151" s="5">
        <v>725</v>
      </c>
      <c r="L151" s="3">
        <v>45986</v>
      </c>
      <c r="M151" s="4" t="s">
        <v>1148</v>
      </c>
      <c r="N151" s="5">
        <v>725</v>
      </c>
    </row>
    <row r="152" spans="1:14">
      <c r="A152" s="4" t="s">
        <v>1149</v>
      </c>
      <c r="B152" s="4" t="s">
        <v>1150</v>
      </c>
      <c r="C152" s="4" t="s">
        <v>1151</v>
      </c>
      <c r="D152" s="4" t="s">
        <v>1152</v>
      </c>
      <c r="E152" s="4" t="s">
        <v>1153</v>
      </c>
      <c r="F152" s="3">
        <v>45930</v>
      </c>
      <c r="G152" s="4" t="s">
        <v>1154</v>
      </c>
      <c r="H152" s="5">
        <v>450</v>
      </c>
      <c r="I152" s="3">
        <v>45958</v>
      </c>
      <c r="J152" s="4" t="s">
        <v>1155</v>
      </c>
      <c r="K152" s="5">
        <v>450</v>
      </c>
      <c r="L152" s="3">
        <v>45986</v>
      </c>
      <c r="M152" s="4" t="s">
        <v>1156</v>
      </c>
      <c r="N152" s="5">
        <v>450</v>
      </c>
    </row>
    <row r="153" spans="1:14">
      <c r="A153" s="4" t="s">
        <v>1157</v>
      </c>
      <c r="B153" s="4" t="s">
        <v>1157</v>
      </c>
      <c r="C153" s="4" t="s">
        <v>1158</v>
      </c>
      <c r="D153" s="4" t="s">
        <v>1159</v>
      </c>
      <c r="E153" s="4" t="s">
        <v>1160</v>
      </c>
      <c r="F153" s="3">
        <v>45930</v>
      </c>
      <c r="G153" s="4" t="s">
        <v>1161</v>
      </c>
      <c r="H153" s="5">
        <v>700</v>
      </c>
      <c r="I153" s="3">
        <v>45958</v>
      </c>
      <c r="J153" s="4" t="s">
        <v>1162</v>
      </c>
      <c r="K153" s="5">
        <v>700</v>
      </c>
      <c r="L153" s="3">
        <v>45986</v>
      </c>
      <c r="M153" s="4" t="s">
        <v>1163</v>
      </c>
      <c r="N153" s="5">
        <v>700</v>
      </c>
    </row>
    <row r="154" spans="1:14">
      <c r="A154" s="4" t="s">
        <v>1164</v>
      </c>
      <c r="B154" s="4" t="s">
        <v>1165</v>
      </c>
      <c r="C154" s="4" t="s">
        <v>1166</v>
      </c>
      <c r="D154" s="4" t="s">
        <v>1167</v>
      </c>
      <c r="E154" s="4" t="s">
        <v>1168</v>
      </c>
      <c r="F154" s="3">
        <v>45930</v>
      </c>
      <c r="G154" s="4" t="s">
        <v>1169</v>
      </c>
      <c r="H154" s="5">
        <v>350</v>
      </c>
      <c r="I154" s="3">
        <v>45958</v>
      </c>
      <c r="J154" s="4" t="s">
        <v>1170</v>
      </c>
      <c r="K154" s="5">
        <v>350</v>
      </c>
      <c r="L154" s="3">
        <v>45986</v>
      </c>
      <c r="M154" s="4" t="s">
        <v>1171</v>
      </c>
      <c r="N154" s="5">
        <v>350</v>
      </c>
    </row>
    <row r="155" spans="1:14">
      <c r="A155" s="4" t="s">
        <v>1172</v>
      </c>
      <c r="B155" s="4" t="s">
        <v>1173</v>
      </c>
      <c r="C155" s="4" t="s">
        <v>1174</v>
      </c>
      <c r="D155" s="4" t="s">
        <v>1175</v>
      </c>
      <c r="E155" s="4" t="s">
        <v>1176</v>
      </c>
      <c r="F155" s="3">
        <v>45930</v>
      </c>
      <c r="G155" s="4" t="s">
        <v>1177</v>
      </c>
      <c r="H155" s="5">
        <v>175</v>
      </c>
      <c r="I155" s="3">
        <v>45958</v>
      </c>
      <c r="J155" s="4" t="s">
        <v>1178</v>
      </c>
      <c r="K155" s="5">
        <v>175</v>
      </c>
      <c r="L155" s="3">
        <v>45986</v>
      </c>
      <c r="M155" s="4" t="s">
        <v>1179</v>
      </c>
      <c r="N155" s="5">
        <v>175</v>
      </c>
    </row>
    <row r="156" spans="1:14">
      <c r="A156" s="4" t="s">
        <v>1180</v>
      </c>
      <c r="B156" s="4" t="s">
        <v>1181</v>
      </c>
      <c r="C156" s="4" t="s">
        <v>1182</v>
      </c>
      <c r="D156" s="4" t="s">
        <v>1183</v>
      </c>
      <c r="E156" s="4" t="s">
        <v>1184</v>
      </c>
      <c r="F156" s="3">
        <v>45930</v>
      </c>
      <c r="G156" s="4" t="s">
        <v>1185</v>
      </c>
      <c r="H156" s="5">
        <v>250</v>
      </c>
      <c r="I156" s="3">
        <v>45958</v>
      </c>
      <c r="J156" s="4" t="s">
        <v>1186</v>
      </c>
      <c r="K156" s="5">
        <v>250</v>
      </c>
      <c r="L156" s="3">
        <v>45986</v>
      </c>
      <c r="M156" s="4" t="s">
        <v>1187</v>
      </c>
      <c r="N156" s="5">
        <v>250</v>
      </c>
    </row>
    <row r="157" spans="1:14">
      <c r="A157" s="4" t="s">
        <v>1188</v>
      </c>
      <c r="B157" s="4" t="s">
        <v>1189</v>
      </c>
      <c r="C157" s="4" t="s">
        <v>1190</v>
      </c>
      <c r="D157" s="4" t="s">
        <v>1191</v>
      </c>
      <c r="E157" s="4" t="s">
        <v>1192</v>
      </c>
      <c r="F157" s="3">
        <v>45930</v>
      </c>
      <c r="G157" s="4" t="s">
        <v>1193</v>
      </c>
      <c r="H157" s="5">
        <v>2500</v>
      </c>
      <c r="I157" s="3">
        <v>45958</v>
      </c>
      <c r="J157" s="4" t="s">
        <v>1194</v>
      </c>
      <c r="K157" s="5">
        <v>2500</v>
      </c>
      <c r="L157" s="3">
        <v>45986</v>
      </c>
      <c r="M157" s="4" t="s">
        <v>1195</v>
      </c>
      <c r="N157" s="5">
        <v>2500</v>
      </c>
    </row>
    <row r="158" spans="1:14">
      <c r="A158" s="4" t="s">
        <v>1196</v>
      </c>
      <c r="B158" s="4" t="s">
        <v>1197</v>
      </c>
      <c r="C158" s="4" t="s">
        <v>1198</v>
      </c>
      <c r="D158" s="4" t="s">
        <v>1199</v>
      </c>
      <c r="E158" s="4" t="s">
        <v>1200</v>
      </c>
      <c r="F158" s="3">
        <v>45930</v>
      </c>
      <c r="G158" s="4" t="s">
        <v>1201</v>
      </c>
      <c r="H158" s="5">
        <v>1800</v>
      </c>
      <c r="I158" s="3">
        <v>45958</v>
      </c>
      <c r="J158" s="4" t="s">
        <v>1202</v>
      </c>
      <c r="K158" s="5">
        <v>1800</v>
      </c>
      <c r="L158" s="3">
        <v>45986</v>
      </c>
      <c r="M158" s="4" t="s">
        <v>1203</v>
      </c>
      <c r="N158" s="5">
        <v>1800</v>
      </c>
    </row>
    <row r="159" spans="1:14">
      <c r="A159" s="4" t="s">
        <v>1204</v>
      </c>
      <c r="B159" s="4" t="s">
        <v>1204</v>
      </c>
      <c r="C159" s="4" t="s">
        <v>1205</v>
      </c>
      <c r="D159" s="4" t="s">
        <v>1206</v>
      </c>
      <c r="E159" s="4" t="s">
        <v>1207</v>
      </c>
      <c r="F159" s="3">
        <v>45930</v>
      </c>
      <c r="G159" s="4" t="s">
        <v>1208</v>
      </c>
      <c r="H159" s="5">
        <v>8000</v>
      </c>
      <c r="I159" s="3">
        <v>45958</v>
      </c>
      <c r="J159" s="4" t="s">
        <v>1209</v>
      </c>
      <c r="K159" s="5">
        <v>8000</v>
      </c>
      <c r="L159" s="3">
        <v>45986</v>
      </c>
      <c r="M159" s="4" t="s">
        <v>1210</v>
      </c>
      <c r="N159" s="5">
        <v>8000</v>
      </c>
    </row>
    <row r="160" spans="1:14">
      <c r="A160" s="4" t="s">
        <v>1211</v>
      </c>
      <c r="B160" s="4" t="s">
        <v>1212</v>
      </c>
      <c r="C160" s="4" t="s">
        <v>1213</v>
      </c>
      <c r="D160" s="4" t="s">
        <v>1214</v>
      </c>
      <c r="E160" s="4" t="s">
        <v>1215</v>
      </c>
      <c r="F160" s="3">
        <v>45930</v>
      </c>
      <c r="G160" s="4" t="s">
        <v>1216</v>
      </c>
      <c r="H160" s="5">
        <v>650</v>
      </c>
      <c r="I160" s="3">
        <v>45958</v>
      </c>
      <c r="J160" s="4" t="s">
        <v>1217</v>
      </c>
      <c r="K160" s="5">
        <v>650</v>
      </c>
      <c r="L160" s="3">
        <v>45986</v>
      </c>
      <c r="M160" s="4" t="s">
        <v>1218</v>
      </c>
      <c r="N160" s="5">
        <v>650</v>
      </c>
    </row>
    <row r="161" spans="1:14">
      <c r="A161" s="4" t="s">
        <v>1219</v>
      </c>
      <c r="B161" s="4" t="s">
        <v>1220</v>
      </c>
      <c r="C161" s="4" t="s">
        <v>1221</v>
      </c>
      <c r="D161" s="4" t="s">
        <v>1222</v>
      </c>
      <c r="E161" s="4" t="s">
        <v>1223</v>
      </c>
      <c r="F161" s="3">
        <v>45930</v>
      </c>
      <c r="G161" s="4" t="s">
        <v>1224</v>
      </c>
      <c r="H161" s="5">
        <v>350</v>
      </c>
      <c r="I161" s="3">
        <v>45958</v>
      </c>
      <c r="J161" s="4" t="s">
        <v>1225</v>
      </c>
      <c r="K161" s="5">
        <v>350</v>
      </c>
      <c r="L161" s="3">
        <v>45986</v>
      </c>
      <c r="M161" s="4" t="s">
        <v>1226</v>
      </c>
      <c r="N161" s="5">
        <v>350</v>
      </c>
    </row>
    <row r="162" spans="1:14">
      <c r="A162" s="4" t="s">
        <v>1227</v>
      </c>
      <c r="B162" s="4" t="s">
        <v>1227</v>
      </c>
      <c r="C162" s="4" t="s">
        <v>1228</v>
      </c>
      <c r="D162" s="4" t="s">
        <v>1229</v>
      </c>
      <c r="E162" s="4" t="s">
        <v>1230</v>
      </c>
      <c r="F162" s="3">
        <v>45930</v>
      </c>
      <c r="G162" s="4" t="s">
        <v>1231</v>
      </c>
      <c r="H162" s="5">
        <v>125</v>
      </c>
      <c r="I162" s="3">
        <v>45958</v>
      </c>
      <c r="J162" s="4" t="s">
        <v>1232</v>
      </c>
      <c r="K162" s="5">
        <v>125</v>
      </c>
      <c r="L162" s="3">
        <v>45986</v>
      </c>
      <c r="M162" s="4" t="s">
        <v>1233</v>
      </c>
      <c r="N162" s="5">
        <v>125</v>
      </c>
    </row>
    <row r="163" spans="1:14">
      <c r="A163" s="4" t="s">
        <v>1234</v>
      </c>
      <c r="B163" s="4" t="s">
        <v>1235</v>
      </c>
      <c r="C163" s="4" t="s">
        <v>1236</v>
      </c>
      <c r="D163" s="4" t="s">
        <v>1237</v>
      </c>
      <c r="E163" s="4" t="s">
        <v>1238</v>
      </c>
      <c r="F163" s="3">
        <v>45930</v>
      </c>
      <c r="G163" s="4" t="s">
        <v>1239</v>
      </c>
      <c r="H163" s="5">
        <v>1300</v>
      </c>
      <c r="I163" s="3">
        <v>45958</v>
      </c>
      <c r="J163" s="4" t="s">
        <v>1240</v>
      </c>
      <c r="K163" s="5">
        <v>1300</v>
      </c>
      <c r="L163" s="3">
        <v>45986</v>
      </c>
      <c r="M163" s="4" t="s">
        <v>1241</v>
      </c>
      <c r="N163" s="5">
        <v>1300</v>
      </c>
    </row>
    <row r="164" spans="1:14">
      <c r="A164" s="4" t="s">
        <v>1242</v>
      </c>
      <c r="B164" s="4" t="s">
        <v>1243</v>
      </c>
      <c r="C164" s="4" t="s">
        <v>1244</v>
      </c>
      <c r="D164" s="4" t="s">
        <v>1245</v>
      </c>
      <c r="E164" s="4" t="s">
        <v>1246</v>
      </c>
      <c r="F164" s="3">
        <v>45930</v>
      </c>
      <c r="G164" s="4" t="s">
        <v>1247</v>
      </c>
      <c r="H164" s="5">
        <v>100</v>
      </c>
      <c r="I164" s="3">
        <v>45958</v>
      </c>
      <c r="J164" s="4" t="s">
        <v>1248</v>
      </c>
      <c r="K164" s="5">
        <v>100</v>
      </c>
      <c r="L164" s="3">
        <v>45986</v>
      </c>
      <c r="M164" s="4" t="s">
        <v>1249</v>
      </c>
      <c r="N164" s="5">
        <v>100</v>
      </c>
    </row>
    <row r="165" spans="1:14">
      <c r="A165" s="4" t="s">
        <v>1250</v>
      </c>
      <c r="B165" s="4" t="s">
        <v>1251</v>
      </c>
      <c r="C165" s="4" t="s">
        <v>1252</v>
      </c>
      <c r="D165" s="4" t="s">
        <v>1253</v>
      </c>
      <c r="E165" s="4" t="s">
        <v>1254</v>
      </c>
      <c r="F165" s="3">
        <v>45930</v>
      </c>
      <c r="G165" s="4" t="s">
        <v>1255</v>
      </c>
      <c r="H165" s="5">
        <v>1900</v>
      </c>
      <c r="I165" s="3">
        <v>45958</v>
      </c>
      <c r="J165" s="4" t="s">
        <v>1256</v>
      </c>
      <c r="K165" s="5">
        <v>1900</v>
      </c>
      <c r="L165" s="3">
        <v>45986</v>
      </c>
      <c r="M165" s="4" t="s">
        <v>1257</v>
      </c>
      <c r="N165" s="5">
        <v>1900</v>
      </c>
    </row>
    <row r="166" spans="1:14">
      <c r="A166" s="4" t="s">
        <v>1258</v>
      </c>
      <c r="B166" s="4" t="s">
        <v>1259</v>
      </c>
      <c r="C166" s="4" t="s">
        <v>1260</v>
      </c>
      <c r="D166" s="4" t="s">
        <v>1261</v>
      </c>
      <c r="E166" s="4" t="s">
        <v>1262</v>
      </c>
      <c r="F166" s="3">
        <v>45930</v>
      </c>
      <c r="G166" s="4" t="s">
        <v>1263</v>
      </c>
      <c r="H166" s="5">
        <v>3175</v>
      </c>
      <c r="I166" s="3">
        <v>45958</v>
      </c>
      <c r="J166" s="4" t="s">
        <v>1264</v>
      </c>
      <c r="K166" s="5">
        <v>3175</v>
      </c>
      <c r="L166" s="3">
        <v>45986</v>
      </c>
      <c r="M166" s="4" t="s">
        <v>1265</v>
      </c>
      <c r="N166" s="5">
        <v>3175</v>
      </c>
    </row>
    <row r="167" spans="1:14">
      <c r="A167" s="4" t="s">
        <v>1266</v>
      </c>
      <c r="B167" s="4" t="s">
        <v>1267</v>
      </c>
      <c r="C167" s="4" t="s">
        <v>1268</v>
      </c>
      <c r="D167" s="4" t="s">
        <v>1269</v>
      </c>
      <c r="E167" s="4" t="s">
        <v>1270</v>
      </c>
      <c r="F167" s="3">
        <v>45930</v>
      </c>
      <c r="G167" s="4" t="s">
        <v>1271</v>
      </c>
      <c r="H167" s="5">
        <v>1275</v>
      </c>
      <c r="I167" s="3">
        <v>45958</v>
      </c>
      <c r="J167" s="4" t="s">
        <v>1272</v>
      </c>
      <c r="K167" s="5">
        <v>1275</v>
      </c>
      <c r="L167" s="3">
        <v>45986</v>
      </c>
      <c r="M167" s="4" t="s">
        <v>1273</v>
      </c>
      <c r="N167" s="5">
        <v>1275</v>
      </c>
    </row>
    <row r="168" spans="1:14">
      <c r="A168" s="4" t="s">
        <v>1274</v>
      </c>
      <c r="B168" s="4" t="s">
        <v>1274</v>
      </c>
      <c r="C168" s="4" t="s">
        <v>1275</v>
      </c>
      <c r="D168" s="4" t="s">
        <v>1276</v>
      </c>
      <c r="E168" s="4" t="s">
        <v>1277</v>
      </c>
      <c r="F168" s="3">
        <v>45930</v>
      </c>
      <c r="G168" s="4" t="s">
        <v>1278</v>
      </c>
      <c r="H168" s="5">
        <v>500</v>
      </c>
      <c r="I168" s="3">
        <v>45958</v>
      </c>
      <c r="J168" s="4" t="s">
        <v>1279</v>
      </c>
      <c r="K168" s="5">
        <v>500</v>
      </c>
      <c r="L168" s="3">
        <v>45986</v>
      </c>
      <c r="M168" s="4" t="s">
        <v>1280</v>
      </c>
      <c r="N168" s="5">
        <v>500</v>
      </c>
    </row>
    <row r="169" spans="1:14">
      <c r="A169" s="4" t="s">
        <v>1281</v>
      </c>
      <c r="B169" s="4" t="s">
        <v>1281</v>
      </c>
      <c r="C169" s="4" t="s">
        <v>1282</v>
      </c>
      <c r="D169" s="4" t="s">
        <v>1283</v>
      </c>
      <c r="E169" s="4" t="s">
        <v>1284</v>
      </c>
      <c r="F169" s="3">
        <v>45930</v>
      </c>
      <c r="G169" s="4" t="s">
        <v>1285</v>
      </c>
      <c r="H169" s="5">
        <v>1375</v>
      </c>
      <c r="I169" s="3">
        <v>45958</v>
      </c>
      <c r="J169" s="4" t="s">
        <v>1286</v>
      </c>
      <c r="K169" s="5">
        <v>1375</v>
      </c>
      <c r="L169" s="3">
        <v>45986</v>
      </c>
      <c r="M169" s="4" t="s">
        <v>1287</v>
      </c>
      <c r="N169" s="5">
        <v>1375</v>
      </c>
    </row>
    <row r="170" spans="1:14">
      <c r="A170" s="4" t="s">
        <v>1288</v>
      </c>
      <c r="B170" s="4" t="s">
        <v>1288</v>
      </c>
      <c r="C170" s="4" t="s">
        <v>1289</v>
      </c>
      <c r="D170" s="4" t="s">
        <v>1290</v>
      </c>
      <c r="E170" s="4" t="s">
        <v>1291</v>
      </c>
      <c r="F170" s="3">
        <v>45930</v>
      </c>
      <c r="G170" s="4" t="s">
        <v>1292</v>
      </c>
      <c r="H170" s="5">
        <v>4700</v>
      </c>
      <c r="I170" s="3">
        <v>45958</v>
      </c>
      <c r="J170" s="4" t="s">
        <v>1293</v>
      </c>
      <c r="K170" s="5">
        <v>4700</v>
      </c>
      <c r="L170" s="3">
        <v>45986</v>
      </c>
      <c r="M170" s="4" t="s">
        <v>1294</v>
      </c>
      <c r="N170" s="5">
        <v>4700</v>
      </c>
    </row>
    <row r="171" spans="1:14">
      <c r="A171" s="4" t="s">
        <v>1295</v>
      </c>
      <c r="B171" s="4" t="s">
        <v>1296</v>
      </c>
      <c r="C171" s="4" t="s">
        <v>1297</v>
      </c>
      <c r="D171" s="4" t="s">
        <v>1298</v>
      </c>
      <c r="E171" s="4" t="s">
        <v>1299</v>
      </c>
      <c r="F171" s="3">
        <v>45930</v>
      </c>
      <c r="G171" s="4" t="s">
        <v>1300</v>
      </c>
      <c r="H171" s="5">
        <v>4300</v>
      </c>
      <c r="I171" s="3">
        <v>45958</v>
      </c>
      <c r="J171" s="4" t="s">
        <v>1301</v>
      </c>
      <c r="K171" s="5">
        <v>4300</v>
      </c>
      <c r="L171" s="3">
        <v>45986</v>
      </c>
      <c r="M171" s="4" t="s">
        <v>1302</v>
      </c>
      <c r="N171" s="5">
        <v>4300</v>
      </c>
    </row>
    <row r="172" spans="1:14">
      <c r="A172" s="4" t="s">
        <v>1303</v>
      </c>
      <c r="B172" s="4" t="s">
        <v>1303</v>
      </c>
      <c r="C172" s="4" t="s">
        <v>1304</v>
      </c>
      <c r="D172" s="4" t="s">
        <v>1305</v>
      </c>
      <c r="E172" s="4" t="s">
        <v>1306</v>
      </c>
      <c r="F172" s="3">
        <v>45930</v>
      </c>
      <c r="G172" s="4" t="s">
        <v>1307</v>
      </c>
      <c r="H172" s="5">
        <v>800</v>
      </c>
      <c r="I172" s="3">
        <v>45958</v>
      </c>
      <c r="J172" s="4" t="s">
        <v>1308</v>
      </c>
      <c r="K172" s="5">
        <v>800</v>
      </c>
      <c r="L172" s="3">
        <v>45986</v>
      </c>
      <c r="M172" s="4" t="s">
        <v>1309</v>
      </c>
      <c r="N172" s="5">
        <v>800</v>
      </c>
    </row>
    <row r="173" spans="1:14">
      <c r="A173" s="4" t="s">
        <v>1310</v>
      </c>
      <c r="B173" s="4" t="s">
        <v>1310</v>
      </c>
      <c r="C173" s="4" t="s">
        <v>1311</v>
      </c>
      <c r="D173" s="4" t="s">
        <v>1312</v>
      </c>
      <c r="E173" s="4" t="s">
        <v>1313</v>
      </c>
      <c r="F173" s="3">
        <v>45930</v>
      </c>
      <c r="G173" s="4" t="s">
        <v>1314</v>
      </c>
      <c r="H173" s="5">
        <v>375</v>
      </c>
      <c r="I173" s="3">
        <v>45958</v>
      </c>
      <c r="J173" s="4" t="s">
        <v>1315</v>
      </c>
      <c r="K173" s="5">
        <v>375</v>
      </c>
      <c r="L173" s="3">
        <v>45986</v>
      </c>
      <c r="M173" s="4" t="s">
        <v>1316</v>
      </c>
      <c r="N173" s="5">
        <v>375</v>
      </c>
    </row>
    <row r="174" spans="1:14">
      <c r="A174" s="4" t="s">
        <v>1317</v>
      </c>
      <c r="B174" s="4" t="s">
        <v>1317</v>
      </c>
      <c r="C174" s="4" t="s">
        <v>1318</v>
      </c>
      <c r="D174" s="4" t="s">
        <v>1319</v>
      </c>
      <c r="E174" s="4" t="s">
        <v>1320</v>
      </c>
      <c r="F174" s="3">
        <v>45930</v>
      </c>
      <c r="G174" s="4" t="s">
        <v>1321</v>
      </c>
      <c r="H174" s="5">
        <v>750</v>
      </c>
      <c r="I174" s="3">
        <v>45958</v>
      </c>
      <c r="J174" s="4" t="s">
        <v>1322</v>
      </c>
      <c r="K174" s="5">
        <v>750</v>
      </c>
      <c r="L174" s="3">
        <v>45986</v>
      </c>
      <c r="M174" s="4" t="s">
        <v>1323</v>
      </c>
      <c r="N174" s="5">
        <v>750</v>
      </c>
    </row>
    <row r="175" spans="1:14">
      <c r="A175" s="4" t="s">
        <v>1324</v>
      </c>
      <c r="B175" s="4" t="s">
        <v>1325</v>
      </c>
      <c r="C175" s="4" t="s">
        <v>1326</v>
      </c>
      <c r="D175" s="4" t="s">
        <v>1327</v>
      </c>
      <c r="E175" s="4" t="s">
        <v>1328</v>
      </c>
      <c r="F175" s="3">
        <v>45930</v>
      </c>
      <c r="G175" s="4" t="s">
        <v>1329</v>
      </c>
      <c r="H175" s="5">
        <v>825</v>
      </c>
      <c r="I175" s="3">
        <v>45958</v>
      </c>
      <c r="J175" s="4" t="s">
        <v>1330</v>
      </c>
      <c r="K175" s="5">
        <v>825</v>
      </c>
      <c r="L175" s="3">
        <v>45986</v>
      </c>
      <c r="M175" s="4" t="s">
        <v>1331</v>
      </c>
      <c r="N175" s="5">
        <v>825</v>
      </c>
    </row>
    <row r="176" spans="1:14">
      <c r="A176" s="4" t="s">
        <v>1332</v>
      </c>
      <c r="B176" s="4" t="s">
        <v>1333</v>
      </c>
      <c r="C176" s="4" t="s">
        <v>1334</v>
      </c>
      <c r="D176" s="4" t="s">
        <v>1335</v>
      </c>
      <c r="E176" s="4" t="s">
        <v>1336</v>
      </c>
      <c r="F176" s="3">
        <v>45930</v>
      </c>
      <c r="G176" s="4" t="s">
        <v>1337</v>
      </c>
      <c r="H176" s="5">
        <v>175</v>
      </c>
      <c r="I176" s="3">
        <v>45958</v>
      </c>
      <c r="J176" s="4" t="s">
        <v>1338</v>
      </c>
      <c r="K176" s="5">
        <v>175</v>
      </c>
      <c r="L176" s="3">
        <v>45986</v>
      </c>
      <c r="M176" s="4" t="s">
        <v>1339</v>
      </c>
      <c r="N176" s="5">
        <v>175</v>
      </c>
    </row>
    <row r="177" spans="1:14">
      <c r="A177" s="4" t="s">
        <v>1340</v>
      </c>
      <c r="B177" s="4" t="s">
        <v>1341</v>
      </c>
      <c r="C177" s="4" t="s">
        <v>1342</v>
      </c>
      <c r="D177" s="4" t="s">
        <v>1343</v>
      </c>
      <c r="E177" s="4" t="s">
        <v>1344</v>
      </c>
      <c r="F177" s="3">
        <v>45930</v>
      </c>
      <c r="G177" s="4" t="s">
        <v>1345</v>
      </c>
      <c r="H177" s="5">
        <v>125</v>
      </c>
      <c r="I177" s="3">
        <v>45958</v>
      </c>
      <c r="J177" s="4" t="s">
        <v>1346</v>
      </c>
      <c r="K177" s="5">
        <v>125</v>
      </c>
      <c r="L177" s="3">
        <v>45986</v>
      </c>
      <c r="M177" s="4" t="s">
        <v>1347</v>
      </c>
      <c r="N177" s="5">
        <v>125</v>
      </c>
    </row>
    <row r="178" spans="1:14">
      <c r="A178" s="4" t="s">
        <v>1348</v>
      </c>
      <c r="B178" s="4" t="s">
        <v>1349</v>
      </c>
      <c r="C178" s="4" t="s">
        <v>1350</v>
      </c>
      <c r="D178" s="4" t="s">
        <v>1351</v>
      </c>
      <c r="E178" s="4" t="s">
        <v>1352</v>
      </c>
      <c r="F178" s="3">
        <v>45930</v>
      </c>
      <c r="G178" s="4" t="s">
        <v>1353</v>
      </c>
      <c r="H178" s="5">
        <v>75</v>
      </c>
      <c r="I178" s="3">
        <v>45958</v>
      </c>
      <c r="J178" s="4" t="s">
        <v>1354</v>
      </c>
      <c r="K178" s="5">
        <v>75</v>
      </c>
      <c r="L178" s="3">
        <v>45986</v>
      </c>
      <c r="M178" s="4" t="s">
        <v>1355</v>
      </c>
      <c r="N178" s="5">
        <v>75</v>
      </c>
    </row>
    <row r="179" spans="1:14">
      <c r="A179" s="4" t="s">
        <v>1356</v>
      </c>
      <c r="B179" s="4" t="s">
        <v>1356</v>
      </c>
      <c r="C179" s="4" t="s">
        <v>1357</v>
      </c>
      <c r="D179" s="4" t="s">
        <v>1358</v>
      </c>
      <c r="E179" s="4" t="s">
        <v>1359</v>
      </c>
      <c r="F179" s="3">
        <v>45930</v>
      </c>
      <c r="G179" s="4" t="s">
        <v>1360</v>
      </c>
      <c r="H179" s="5">
        <v>1050</v>
      </c>
      <c r="I179" s="3">
        <v>45958</v>
      </c>
      <c r="J179" s="4" t="s">
        <v>1361</v>
      </c>
      <c r="K179" s="5">
        <v>1050</v>
      </c>
      <c r="L179" s="3">
        <v>45986</v>
      </c>
      <c r="M179" s="4" t="s">
        <v>1362</v>
      </c>
      <c r="N179" s="5">
        <v>1050</v>
      </c>
    </row>
    <row r="180" spans="1:14">
      <c r="A180" s="4" t="s">
        <v>1363</v>
      </c>
      <c r="B180" s="4" t="s">
        <v>1364</v>
      </c>
      <c r="C180" s="4" t="s">
        <v>1365</v>
      </c>
      <c r="D180" s="4" t="s">
        <v>1366</v>
      </c>
      <c r="E180" s="4" t="s">
        <v>1367</v>
      </c>
      <c r="F180" s="3">
        <v>45930</v>
      </c>
      <c r="G180" s="4" t="s">
        <v>1368</v>
      </c>
      <c r="H180" s="5">
        <v>25</v>
      </c>
      <c r="I180" s="3">
        <v>45958</v>
      </c>
      <c r="J180" s="4" t="s">
        <v>1369</v>
      </c>
      <c r="K180" s="5">
        <v>25</v>
      </c>
      <c r="L180" s="3">
        <v>45986</v>
      </c>
      <c r="M180" s="4" t="s">
        <v>1370</v>
      </c>
      <c r="N180" s="5">
        <v>25</v>
      </c>
    </row>
    <row r="181" spans="1:14">
      <c r="A181" s="4" t="s">
        <v>1371</v>
      </c>
      <c r="B181" s="4" t="s">
        <v>1371</v>
      </c>
      <c r="C181" s="4" t="s">
        <v>1372</v>
      </c>
      <c r="D181" s="4" t="s">
        <v>1373</v>
      </c>
      <c r="E181" s="4" t="s">
        <v>1374</v>
      </c>
      <c r="F181" s="3">
        <v>45930</v>
      </c>
      <c r="G181" s="4" t="s">
        <v>1375</v>
      </c>
      <c r="H181" s="5">
        <v>200</v>
      </c>
      <c r="I181" s="3">
        <v>45958</v>
      </c>
      <c r="J181" s="4" t="s">
        <v>1376</v>
      </c>
      <c r="K181" s="5">
        <v>200</v>
      </c>
      <c r="L181" s="3">
        <v>45986</v>
      </c>
      <c r="M181" s="4" t="s">
        <v>1377</v>
      </c>
      <c r="N181" s="5">
        <v>200</v>
      </c>
    </row>
    <row r="182" spans="1:14">
      <c r="A182" s="4" t="s">
        <v>1378</v>
      </c>
      <c r="B182" s="4" t="s">
        <v>1379</v>
      </c>
      <c r="C182" s="4" t="s">
        <v>1380</v>
      </c>
      <c r="D182" s="4" t="s">
        <v>1381</v>
      </c>
      <c r="E182" s="4" t="s">
        <v>1382</v>
      </c>
      <c r="F182" s="3">
        <v>45930</v>
      </c>
      <c r="G182" s="4" t="s">
        <v>1383</v>
      </c>
      <c r="H182" s="5">
        <v>8000</v>
      </c>
      <c r="I182" s="3">
        <v>45958</v>
      </c>
      <c r="J182" s="4" t="s">
        <v>1384</v>
      </c>
      <c r="K182" s="5">
        <v>8000</v>
      </c>
      <c r="L182" s="3">
        <v>45986</v>
      </c>
      <c r="M182" s="4" t="s">
        <v>1385</v>
      </c>
      <c r="N182" s="5">
        <v>8000</v>
      </c>
    </row>
    <row r="183" spans="1:14">
      <c r="A183" s="4" t="s">
        <v>1386</v>
      </c>
      <c r="B183" s="4" t="s">
        <v>1387</v>
      </c>
      <c r="C183" s="4" t="s">
        <v>1388</v>
      </c>
      <c r="D183" s="4" t="s">
        <v>1389</v>
      </c>
      <c r="E183" s="4" t="s">
        <v>1390</v>
      </c>
      <c r="F183" s="3">
        <v>45930</v>
      </c>
      <c r="G183" s="4" t="s">
        <v>1391</v>
      </c>
      <c r="H183" s="5">
        <v>350</v>
      </c>
      <c r="I183" s="3">
        <v>45958</v>
      </c>
      <c r="J183" s="4" t="s">
        <v>1392</v>
      </c>
      <c r="K183" s="5">
        <v>350</v>
      </c>
      <c r="L183" s="3">
        <v>45986</v>
      </c>
      <c r="M183" s="4" t="s">
        <v>1393</v>
      </c>
      <c r="N183" s="5">
        <v>350</v>
      </c>
    </row>
    <row r="184" spans="1:14">
      <c r="A184" s="4" t="s">
        <v>1394</v>
      </c>
      <c r="B184" s="4" t="s">
        <v>1395</v>
      </c>
      <c r="C184" s="4" t="s">
        <v>1396</v>
      </c>
      <c r="D184" s="4" t="s">
        <v>1397</v>
      </c>
      <c r="E184" s="4" t="s">
        <v>1398</v>
      </c>
      <c r="F184" s="3">
        <v>45930</v>
      </c>
      <c r="G184" s="4" t="s">
        <v>1399</v>
      </c>
      <c r="H184" s="5">
        <v>1000</v>
      </c>
      <c r="I184" s="3">
        <v>45958</v>
      </c>
      <c r="J184" s="4" t="s">
        <v>1400</v>
      </c>
      <c r="K184" s="5">
        <v>1000</v>
      </c>
      <c r="L184" s="3">
        <v>45986</v>
      </c>
      <c r="M184" s="4" t="s">
        <v>1401</v>
      </c>
      <c r="N184" s="5">
        <v>1000</v>
      </c>
    </row>
    <row r="185" spans="1:14">
      <c r="A185" s="4" t="s">
        <v>1402</v>
      </c>
      <c r="B185" s="4" t="s">
        <v>1403</v>
      </c>
      <c r="C185" s="4" t="s">
        <v>1404</v>
      </c>
      <c r="D185" s="4" t="s">
        <v>1405</v>
      </c>
      <c r="E185" s="4" t="s">
        <v>1406</v>
      </c>
      <c r="F185" s="3">
        <v>45930</v>
      </c>
      <c r="G185" s="4" t="s">
        <v>1407</v>
      </c>
      <c r="H185" s="5">
        <v>5500</v>
      </c>
      <c r="I185" s="3">
        <v>45958</v>
      </c>
      <c r="J185" s="4" t="s">
        <v>1408</v>
      </c>
      <c r="K185" s="5">
        <v>5500</v>
      </c>
      <c r="L185" s="3">
        <v>45986</v>
      </c>
      <c r="M185" s="4" t="s">
        <v>1409</v>
      </c>
      <c r="N185" s="5">
        <v>5500</v>
      </c>
    </row>
    <row r="186" spans="1:14">
      <c r="A186" s="4" t="s">
        <v>1410</v>
      </c>
      <c r="B186" s="4" t="s">
        <v>1411</v>
      </c>
      <c r="C186" s="4" t="s">
        <v>1412</v>
      </c>
      <c r="D186" s="4" t="s">
        <v>1413</v>
      </c>
      <c r="E186" s="4" t="s">
        <v>1414</v>
      </c>
      <c r="F186" s="3">
        <v>45930</v>
      </c>
      <c r="G186" s="4" t="s">
        <v>1415</v>
      </c>
      <c r="H186" s="5">
        <v>550</v>
      </c>
      <c r="I186" s="3">
        <v>45958</v>
      </c>
      <c r="J186" s="4" t="s">
        <v>1416</v>
      </c>
      <c r="K186" s="5">
        <v>550</v>
      </c>
      <c r="L186" s="3">
        <v>45986</v>
      </c>
      <c r="M186" s="4" t="s">
        <v>1417</v>
      </c>
      <c r="N186" s="5">
        <v>550</v>
      </c>
    </row>
    <row r="187" spans="1:14">
      <c r="A187" s="4" t="s">
        <v>1418</v>
      </c>
      <c r="B187" s="4" t="s">
        <v>1418</v>
      </c>
      <c r="C187" s="4" t="s">
        <v>1419</v>
      </c>
      <c r="D187" s="4" t="s">
        <v>1420</v>
      </c>
      <c r="E187" s="4" t="s">
        <v>1421</v>
      </c>
      <c r="F187" s="3">
        <v>45930</v>
      </c>
      <c r="G187" s="4" t="s">
        <v>1422</v>
      </c>
      <c r="H187" s="5">
        <v>800</v>
      </c>
      <c r="I187" s="3">
        <v>45958</v>
      </c>
      <c r="J187" s="4" t="s">
        <v>1423</v>
      </c>
      <c r="K187" s="5">
        <v>800</v>
      </c>
      <c r="L187" s="3">
        <v>45986</v>
      </c>
      <c r="M187" s="4" t="s">
        <v>1424</v>
      </c>
      <c r="N187" s="5">
        <v>800</v>
      </c>
    </row>
    <row r="188" spans="1:14">
      <c r="A188" s="4" t="s">
        <v>1425</v>
      </c>
      <c r="B188" s="4" t="s">
        <v>1425</v>
      </c>
      <c r="C188" s="4" t="s">
        <v>1426</v>
      </c>
      <c r="D188" s="4" t="s">
        <v>1427</v>
      </c>
      <c r="E188" s="4" t="s">
        <v>1428</v>
      </c>
      <c r="F188" s="3">
        <v>45930</v>
      </c>
      <c r="G188" s="4" t="s">
        <v>1429</v>
      </c>
      <c r="H188" s="5">
        <v>175</v>
      </c>
      <c r="I188" s="3">
        <v>45958</v>
      </c>
      <c r="J188" s="4" t="s">
        <v>1430</v>
      </c>
      <c r="K188" s="5">
        <v>175</v>
      </c>
      <c r="L188" s="3">
        <v>45986</v>
      </c>
      <c r="M188" s="4" t="s">
        <v>1431</v>
      </c>
      <c r="N188" s="5">
        <v>175</v>
      </c>
    </row>
    <row r="189" spans="1:14">
      <c r="A189" s="4" t="s">
        <v>1432</v>
      </c>
      <c r="B189" s="4" t="s">
        <v>1432</v>
      </c>
      <c r="C189" s="4" t="s">
        <v>1433</v>
      </c>
      <c r="D189" s="4" t="s">
        <v>1434</v>
      </c>
      <c r="E189" s="4" t="s">
        <v>1435</v>
      </c>
      <c r="F189" s="3">
        <v>45930</v>
      </c>
      <c r="G189" s="4" t="s">
        <v>1436</v>
      </c>
      <c r="H189" s="5">
        <v>600</v>
      </c>
      <c r="I189" s="3">
        <v>45958</v>
      </c>
      <c r="J189" s="4" t="s">
        <v>1437</v>
      </c>
      <c r="K189" s="5">
        <v>600</v>
      </c>
      <c r="L189" s="3">
        <v>45986</v>
      </c>
      <c r="M189" s="4" t="s">
        <v>1438</v>
      </c>
      <c r="N189" s="5">
        <v>600</v>
      </c>
    </row>
    <row r="190" spans="1:14">
      <c r="A190" s="4" t="s">
        <v>1439</v>
      </c>
      <c r="B190" s="4" t="s">
        <v>1440</v>
      </c>
      <c r="C190" s="4" t="s">
        <v>1441</v>
      </c>
      <c r="D190" s="4" t="s">
        <v>1442</v>
      </c>
      <c r="E190" s="4" t="s">
        <v>1443</v>
      </c>
      <c r="F190" s="3">
        <v>45930</v>
      </c>
      <c r="G190" s="4" t="s">
        <v>1444</v>
      </c>
      <c r="H190" s="5">
        <v>100</v>
      </c>
      <c r="I190" s="3">
        <v>45958</v>
      </c>
      <c r="J190" s="4" t="s">
        <v>1445</v>
      </c>
      <c r="K190" s="5">
        <v>100</v>
      </c>
      <c r="L190" s="3">
        <v>45986</v>
      </c>
      <c r="M190" s="4" t="s">
        <v>1446</v>
      </c>
      <c r="N190" s="5">
        <v>100</v>
      </c>
    </row>
    <row r="191" spans="1:14">
      <c r="A191" s="4" t="s">
        <v>1447</v>
      </c>
      <c r="B191" s="4" t="s">
        <v>1447</v>
      </c>
      <c r="C191" s="4" t="s">
        <v>1448</v>
      </c>
      <c r="D191" s="4" t="s">
        <v>1449</v>
      </c>
      <c r="E191" s="4" t="s">
        <v>1450</v>
      </c>
      <c r="F191" s="3">
        <v>45930</v>
      </c>
      <c r="G191" s="4" t="s">
        <v>1451</v>
      </c>
      <c r="H191" s="5">
        <v>200</v>
      </c>
      <c r="I191" s="3">
        <v>45958</v>
      </c>
      <c r="J191" s="4" t="s">
        <v>1452</v>
      </c>
      <c r="K191" s="5">
        <v>200</v>
      </c>
      <c r="L191" s="3">
        <v>45986</v>
      </c>
      <c r="M191" s="4" t="s">
        <v>1453</v>
      </c>
      <c r="N191" s="5">
        <v>200</v>
      </c>
    </row>
    <row r="192" spans="1:14">
      <c r="A192" s="4" t="s">
        <v>1454</v>
      </c>
      <c r="B192" s="4" t="s">
        <v>1454</v>
      </c>
      <c r="C192" s="4" t="s">
        <v>1455</v>
      </c>
      <c r="D192" s="4" t="s">
        <v>1456</v>
      </c>
      <c r="E192" s="4" t="s">
        <v>1457</v>
      </c>
      <c r="F192" s="3">
        <v>45930</v>
      </c>
      <c r="G192" s="4" t="s">
        <v>1458</v>
      </c>
      <c r="H192" s="5">
        <v>725</v>
      </c>
      <c r="I192" s="3">
        <v>45958</v>
      </c>
      <c r="J192" s="4" t="s">
        <v>1459</v>
      </c>
      <c r="K192" s="5">
        <v>725</v>
      </c>
      <c r="L192" s="3">
        <v>45986</v>
      </c>
      <c r="M192" s="4" t="s">
        <v>1460</v>
      </c>
      <c r="N192" s="5">
        <v>725</v>
      </c>
    </row>
    <row r="193" spans="1:14">
      <c r="A193" s="4" t="s">
        <v>1461</v>
      </c>
      <c r="B193" s="4" t="s">
        <v>1462</v>
      </c>
      <c r="C193" s="4" t="s">
        <v>1463</v>
      </c>
      <c r="D193" s="4" t="s">
        <v>1464</v>
      </c>
      <c r="E193" s="4" t="s">
        <v>1465</v>
      </c>
      <c r="F193" s="3">
        <v>45930</v>
      </c>
      <c r="G193" s="4" t="s">
        <v>1466</v>
      </c>
      <c r="H193" s="5">
        <v>375</v>
      </c>
      <c r="I193" s="3">
        <v>45958</v>
      </c>
      <c r="J193" s="4" t="s">
        <v>1467</v>
      </c>
      <c r="K193" s="5">
        <v>375</v>
      </c>
      <c r="L193" s="3">
        <v>45986</v>
      </c>
      <c r="M193" s="4" t="s">
        <v>1468</v>
      </c>
      <c r="N193" s="5">
        <v>375</v>
      </c>
    </row>
    <row r="194" spans="1:14">
      <c r="A194" s="4" t="s">
        <v>1469</v>
      </c>
      <c r="B194" s="4" t="s">
        <v>1470</v>
      </c>
      <c r="C194" s="4" t="s">
        <v>1471</v>
      </c>
      <c r="D194" s="4" t="s">
        <v>1472</v>
      </c>
      <c r="E194" s="4" t="s">
        <v>1473</v>
      </c>
      <c r="F194" s="3">
        <v>45930</v>
      </c>
      <c r="G194" s="4" t="s">
        <v>1474</v>
      </c>
      <c r="H194" s="5">
        <v>1450</v>
      </c>
      <c r="I194" s="3">
        <v>45958</v>
      </c>
      <c r="J194" s="4" t="s">
        <v>1475</v>
      </c>
      <c r="K194" s="5">
        <v>1450</v>
      </c>
      <c r="L194" s="3">
        <v>45986</v>
      </c>
      <c r="M194" s="4" t="s">
        <v>1476</v>
      </c>
      <c r="N194" s="5">
        <v>1450</v>
      </c>
    </row>
    <row r="195" spans="1:14">
      <c r="A195" s="4" t="s">
        <v>1477</v>
      </c>
      <c r="B195" s="4" t="s">
        <v>1477</v>
      </c>
      <c r="C195" s="4" t="s">
        <v>1478</v>
      </c>
      <c r="D195" s="4" t="s">
        <v>1479</v>
      </c>
      <c r="E195" s="4" t="s">
        <v>1480</v>
      </c>
      <c r="F195" s="3">
        <v>45930</v>
      </c>
      <c r="G195" s="4" t="s">
        <v>1481</v>
      </c>
      <c r="H195" s="5">
        <v>100</v>
      </c>
      <c r="I195" s="3">
        <v>45958</v>
      </c>
      <c r="J195" s="4" t="s">
        <v>1482</v>
      </c>
      <c r="K195" s="5">
        <v>100</v>
      </c>
      <c r="L195" s="3">
        <v>45986</v>
      </c>
      <c r="M195" s="4" t="s">
        <v>1483</v>
      </c>
      <c r="N195" s="5">
        <v>100</v>
      </c>
    </row>
    <row r="196" spans="1:14">
      <c r="A196" s="4" t="s">
        <v>1484</v>
      </c>
      <c r="B196" s="4" t="s">
        <v>1485</v>
      </c>
      <c r="C196" s="4" t="s">
        <v>1486</v>
      </c>
      <c r="D196" s="4" t="s">
        <v>1487</v>
      </c>
      <c r="E196" s="4" t="s">
        <v>1488</v>
      </c>
      <c r="F196" s="3">
        <v>45930</v>
      </c>
      <c r="G196" s="4" t="s">
        <v>1489</v>
      </c>
      <c r="H196" s="5">
        <v>250</v>
      </c>
      <c r="I196" s="3">
        <v>45958</v>
      </c>
      <c r="J196" s="4" t="s">
        <v>1490</v>
      </c>
      <c r="K196" s="5">
        <v>250</v>
      </c>
      <c r="L196" s="3">
        <v>45986</v>
      </c>
      <c r="M196" s="4" t="s">
        <v>1491</v>
      </c>
      <c r="N196" s="5">
        <v>250</v>
      </c>
    </row>
    <row r="197" spans="1:14">
      <c r="A197" s="4" t="s">
        <v>1492</v>
      </c>
      <c r="B197" s="4" t="s">
        <v>1493</v>
      </c>
      <c r="C197" s="4" t="s">
        <v>1494</v>
      </c>
      <c r="D197" s="4" t="s">
        <v>1495</v>
      </c>
      <c r="E197" s="4" t="s">
        <v>1496</v>
      </c>
      <c r="F197" s="3">
        <v>45930</v>
      </c>
      <c r="G197" s="4" t="s">
        <v>1497</v>
      </c>
      <c r="H197" s="5">
        <v>175</v>
      </c>
      <c r="I197" s="3">
        <v>45958</v>
      </c>
      <c r="J197" s="4" t="s">
        <v>1498</v>
      </c>
      <c r="K197" s="5">
        <v>175</v>
      </c>
      <c r="L197" s="3">
        <v>45986</v>
      </c>
      <c r="M197" s="4" t="s">
        <v>1499</v>
      </c>
      <c r="N197" s="5">
        <v>175</v>
      </c>
    </row>
    <row r="198" spans="1:14">
      <c r="A198" s="4" t="s">
        <v>1500</v>
      </c>
      <c r="B198" s="4" t="s">
        <v>1501</v>
      </c>
      <c r="C198" s="4" t="s">
        <v>1502</v>
      </c>
      <c r="D198" s="4" t="s">
        <v>1503</v>
      </c>
      <c r="E198" s="4" t="s">
        <v>1504</v>
      </c>
      <c r="F198" s="3">
        <v>45930</v>
      </c>
      <c r="G198" s="4" t="s">
        <v>1505</v>
      </c>
      <c r="H198" s="5">
        <v>800</v>
      </c>
      <c r="I198" s="3">
        <v>45958</v>
      </c>
      <c r="J198" s="4" t="s">
        <v>1506</v>
      </c>
      <c r="K198" s="5">
        <v>800</v>
      </c>
      <c r="L198" s="3">
        <v>45986</v>
      </c>
      <c r="M198" s="4" t="s">
        <v>1507</v>
      </c>
      <c r="N198" s="5">
        <v>800</v>
      </c>
    </row>
    <row r="199" spans="1:14">
      <c r="A199" s="4" t="s">
        <v>1508</v>
      </c>
      <c r="B199" s="4" t="s">
        <v>1509</v>
      </c>
      <c r="C199" s="4" t="s">
        <v>1510</v>
      </c>
      <c r="D199" s="4" t="s">
        <v>1511</v>
      </c>
      <c r="E199" s="4" t="s">
        <v>1512</v>
      </c>
      <c r="F199" s="3">
        <v>45930</v>
      </c>
      <c r="G199" s="4" t="s">
        <v>1513</v>
      </c>
      <c r="H199" s="5">
        <v>350</v>
      </c>
      <c r="I199" s="3">
        <v>45958</v>
      </c>
      <c r="J199" s="4" t="s">
        <v>1514</v>
      </c>
      <c r="K199" s="5">
        <v>350</v>
      </c>
      <c r="L199" s="3">
        <v>45986</v>
      </c>
      <c r="M199" s="4" t="s">
        <v>1515</v>
      </c>
      <c r="N199" s="5">
        <v>350</v>
      </c>
    </row>
    <row r="200" spans="1:14">
      <c r="A200" s="4" t="s">
        <v>1516</v>
      </c>
      <c r="B200" s="4" t="s">
        <v>1517</v>
      </c>
      <c r="C200" s="4" t="s">
        <v>1518</v>
      </c>
      <c r="D200" s="4" t="s">
        <v>1519</v>
      </c>
      <c r="E200" s="4" t="s">
        <v>1520</v>
      </c>
      <c r="F200" s="3">
        <v>45930</v>
      </c>
      <c r="G200" s="4" t="s">
        <v>1521</v>
      </c>
      <c r="H200" s="5">
        <v>4425</v>
      </c>
      <c r="I200" s="3">
        <v>45958</v>
      </c>
      <c r="J200" s="4" t="s">
        <v>1522</v>
      </c>
      <c r="K200" s="5">
        <v>4425</v>
      </c>
      <c r="L200" s="3">
        <v>45986</v>
      </c>
      <c r="M200" s="4" t="s">
        <v>1523</v>
      </c>
      <c r="N200" s="5">
        <v>4425</v>
      </c>
    </row>
    <row r="201" spans="1:14">
      <c r="A201" s="4" t="s">
        <v>1524</v>
      </c>
      <c r="B201" s="4" t="s">
        <v>1524</v>
      </c>
      <c r="C201" s="4" t="s">
        <v>1525</v>
      </c>
      <c r="D201" s="4" t="s">
        <v>1526</v>
      </c>
      <c r="E201" s="4" t="s">
        <v>1527</v>
      </c>
      <c r="F201" s="3">
        <v>45930</v>
      </c>
      <c r="G201" s="4" t="s">
        <v>1528</v>
      </c>
      <c r="H201" s="5">
        <v>400</v>
      </c>
      <c r="I201" s="3">
        <v>45958</v>
      </c>
      <c r="J201" s="4" t="s">
        <v>1529</v>
      </c>
      <c r="K201" s="5">
        <v>400</v>
      </c>
      <c r="L201" s="3">
        <v>45986</v>
      </c>
      <c r="M201" s="4" t="s">
        <v>1530</v>
      </c>
      <c r="N201" s="5">
        <v>400</v>
      </c>
    </row>
    <row r="202" spans="1:14">
      <c r="A202" s="4" t="s">
        <v>1531</v>
      </c>
      <c r="B202" s="4" t="s">
        <v>1531</v>
      </c>
      <c r="C202" s="4" t="s">
        <v>1532</v>
      </c>
      <c r="D202" s="4" t="s">
        <v>1533</v>
      </c>
      <c r="E202" s="4" t="s">
        <v>1534</v>
      </c>
      <c r="F202" s="3">
        <v>45930</v>
      </c>
      <c r="G202" s="4" t="s">
        <v>1535</v>
      </c>
      <c r="H202" s="5">
        <v>550</v>
      </c>
      <c r="I202" s="3">
        <v>45958</v>
      </c>
      <c r="J202" s="4" t="s">
        <v>1536</v>
      </c>
      <c r="K202" s="5">
        <v>550</v>
      </c>
      <c r="L202" s="3">
        <v>45986</v>
      </c>
      <c r="M202" s="4" t="s">
        <v>1537</v>
      </c>
      <c r="N202" s="5">
        <v>550</v>
      </c>
    </row>
    <row r="203" spans="1:14">
      <c r="A203" s="4" t="s">
        <v>1538</v>
      </c>
      <c r="B203" s="4" t="s">
        <v>1539</v>
      </c>
      <c r="C203" s="4" t="s">
        <v>1540</v>
      </c>
      <c r="D203" s="4" t="s">
        <v>1541</v>
      </c>
      <c r="E203" s="4" t="s">
        <v>1542</v>
      </c>
      <c r="F203" s="3">
        <v>45930</v>
      </c>
      <c r="G203" s="4" t="s">
        <v>1543</v>
      </c>
      <c r="H203" s="5">
        <v>1355</v>
      </c>
      <c r="I203" s="3">
        <v>45958</v>
      </c>
      <c r="J203" s="4" t="s">
        <v>1544</v>
      </c>
      <c r="K203" s="5">
        <v>1355</v>
      </c>
      <c r="L203" s="3">
        <v>45986</v>
      </c>
      <c r="M203" s="4" t="s">
        <v>1545</v>
      </c>
      <c r="N203" s="5">
        <v>1355</v>
      </c>
    </row>
    <row r="204" spans="1:14">
      <c r="A204" s="4" t="s">
        <v>1546</v>
      </c>
      <c r="B204" s="4" t="s">
        <v>1547</v>
      </c>
      <c r="C204" s="4" t="s">
        <v>1548</v>
      </c>
      <c r="D204" s="4" t="s">
        <v>1549</v>
      </c>
      <c r="E204" s="4" t="s">
        <v>1550</v>
      </c>
      <c r="F204" s="3">
        <v>45930</v>
      </c>
      <c r="G204" s="4" t="s">
        <v>1551</v>
      </c>
      <c r="H204" s="5">
        <v>50</v>
      </c>
      <c r="I204" s="3">
        <v>45958</v>
      </c>
      <c r="J204" s="4" t="s">
        <v>1552</v>
      </c>
      <c r="K204" s="5">
        <v>50</v>
      </c>
      <c r="L204" s="3">
        <v>45986</v>
      </c>
      <c r="M204" s="4" t="s">
        <v>1553</v>
      </c>
      <c r="N204" s="5">
        <v>50</v>
      </c>
    </row>
    <row r="205" spans="1:14">
      <c r="A205" s="4" t="s">
        <v>1554</v>
      </c>
      <c r="B205" s="4" t="s">
        <v>1554</v>
      </c>
      <c r="C205" s="4" t="s">
        <v>1555</v>
      </c>
      <c r="D205" s="4" t="s">
        <v>1556</v>
      </c>
      <c r="E205" s="4" t="s">
        <v>1557</v>
      </c>
      <c r="F205" s="3">
        <v>45930</v>
      </c>
      <c r="G205" s="4" t="s">
        <v>1558</v>
      </c>
      <c r="H205" s="5">
        <v>1025</v>
      </c>
      <c r="I205" s="3">
        <v>45958</v>
      </c>
      <c r="J205" s="4" t="s">
        <v>1559</v>
      </c>
      <c r="K205" s="5">
        <v>1025</v>
      </c>
      <c r="L205" s="3">
        <v>45986</v>
      </c>
      <c r="M205" s="4" t="s">
        <v>1560</v>
      </c>
      <c r="N205" s="5">
        <v>1025</v>
      </c>
    </row>
    <row r="206" spans="1:14">
      <c r="A206" s="4" t="s">
        <v>1561</v>
      </c>
      <c r="B206" s="4" t="s">
        <v>1561</v>
      </c>
      <c r="C206" s="4" t="s">
        <v>1562</v>
      </c>
      <c r="D206" s="4" t="s">
        <v>1563</v>
      </c>
      <c r="E206" s="4" t="s">
        <v>1564</v>
      </c>
      <c r="F206" s="3">
        <v>45930</v>
      </c>
      <c r="G206" s="4" t="s">
        <v>1565</v>
      </c>
      <c r="H206" s="5">
        <v>1150</v>
      </c>
      <c r="I206" s="3">
        <v>45958</v>
      </c>
      <c r="J206" s="4" t="s">
        <v>1566</v>
      </c>
      <c r="K206" s="5">
        <v>1150</v>
      </c>
      <c r="L206" s="3">
        <v>45986</v>
      </c>
      <c r="M206" s="4" t="s">
        <v>1567</v>
      </c>
      <c r="N206" s="5">
        <v>1150</v>
      </c>
    </row>
    <row r="207" spans="1:14">
      <c r="A207" s="4" t="s">
        <v>1568</v>
      </c>
      <c r="B207" s="4" t="s">
        <v>1569</v>
      </c>
      <c r="C207" s="4" t="s">
        <v>1570</v>
      </c>
      <c r="D207" s="4" t="s">
        <v>1571</v>
      </c>
      <c r="E207" s="4" t="s">
        <v>1572</v>
      </c>
      <c r="F207" s="3">
        <v>45930</v>
      </c>
      <c r="G207" s="4" t="s">
        <v>1573</v>
      </c>
      <c r="H207" s="5">
        <v>375</v>
      </c>
      <c r="I207" s="3">
        <v>45958</v>
      </c>
      <c r="J207" s="4" t="s">
        <v>1574</v>
      </c>
      <c r="K207" s="5">
        <v>375</v>
      </c>
      <c r="L207" s="3">
        <v>45986</v>
      </c>
      <c r="M207" s="4" t="s">
        <v>1575</v>
      </c>
      <c r="N207" s="5">
        <v>375</v>
      </c>
    </row>
    <row r="208" spans="1:14">
      <c r="A208" s="4" t="s">
        <v>1576</v>
      </c>
      <c r="B208" s="4" t="s">
        <v>1577</v>
      </c>
      <c r="C208" s="4" t="s">
        <v>1578</v>
      </c>
      <c r="D208" s="4" t="s">
        <v>1579</v>
      </c>
      <c r="E208" s="4" t="s">
        <v>1580</v>
      </c>
      <c r="F208" s="3">
        <v>45930</v>
      </c>
      <c r="G208" s="4" t="s">
        <v>1581</v>
      </c>
      <c r="H208" s="5">
        <v>3000</v>
      </c>
      <c r="I208" s="3">
        <v>45958</v>
      </c>
      <c r="J208" s="4" t="s">
        <v>1582</v>
      </c>
      <c r="K208" s="5">
        <v>3000</v>
      </c>
      <c r="L208" s="3">
        <v>45986</v>
      </c>
      <c r="M208" s="4" t="s">
        <v>1583</v>
      </c>
      <c r="N208" s="5">
        <v>3000</v>
      </c>
    </row>
    <row r="209" spans="1:14">
      <c r="A209" s="4" t="s">
        <v>1584</v>
      </c>
      <c r="B209" s="4" t="s">
        <v>1585</v>
      </c>
      <c r="C209" s="4" t="s">
        <v>1586</v>
      </c>
      <c r="D209" s="4" t="s">
        <v>1587</v>
      </c>
      <c r="E209" s="4" t="s">
        <v>1588</v>
      </c>
      <c r="F209" s="3">
        <v>45930</v>
      </c>
      <c r="G209" s="4" t="s">
        <v>1589</v>
      </c>
      <c r="H209" s="5">
        <v>31100</v>
      </c>
      <c r="I209" s="3">
        <v>45958</v>
      </c>
      <c r="J209" s="4" t="s">
        <v>1590</v>
      </c>
      <c r="K209" s="5">
        <v>31100</v>
      </c>
      <c r="L209" s="3">
        <v>45986</v>
      </c>
      <c r="M209" s="4" t="s">
        <v>1591</v>
      </c>
      <c r="N209" s="5">
        <v>31100</v>
      </c>
    </row>
    <row r="210" spans="1:14">
      <c r="A210" s="4" t="s">
        <v>1592</v>
      </c>
      <c r="B210" s="4" t="s">
        <v>1593</v>
      </c>
      <c r="C210" s="4" t="s">
        <v>1594</v>
      </c>
      <c r="D210" s="4" t="s">
        <v>1595</v>
      </c>
      <c r="E210" s="4" t="s">
        <v>1596</v>
      </c>
      <c r="F210" s="3">
        <v>45930</v>
      </c>
      <c r="G210" s="4" t="s">
        <v>1597</v>
      </c>
      <c r="H210" s="5">
        <v>900</v>
      </c>
      <c r="I210" s="3">
        <v>45958</v>
      </c>
      <c r="J210" s="4" t="s">
        <v>1598</v>
      </c>
      <c r="K210" s="5">
        <v>900</v>
      </c>
      <c r="L210" s="3">
        <v>45986</v>
      </c>
      <c r="M210" s="4" t="s">
        <v>1599</v>
      </c>
      <c r="N210" s="5">
        <v>900</v>
      </c>
    </row>
    <row r="211" spans="1:14">
      <c r="A211" s="4" t="s">
        <v>1600</v>
      </c>
      <c r="B211" s="4" t="s">
        <v>1601</v>
      </c>
      <c r="C211" s="4" t="s">
        <v>1602</v>
      </c>
      <c r="D211" s="4" t="s">
        <v>1603</v>
      </c>
      <c r="E211" s="4" t="s">
        <v>1604</v>
      </c>
      <c r="F211" s="3">
        <v>45930</v>
      </c>
      <c r="G211" s="4" t="s">
        <v>1605</v>
      </c>
      <c r="H211" s="5">
        <v>650</v>
      </c>
      <c r="I211" s="3"/>
      <c r="J211" s="4"/>
      <c r="K211" s="5"/>
      <c r="L211" s="3"/>
      <c r="M211" s="4"/>
      <c r="N211" s="5"/>
    </row>
  </sheetData>
  <mergeCells count="3">
    <mergeCell ref="I1:K1"/>
    <mergeCell ref="L1:N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41DC-B0E9-483B-9843-ABD630D2BED9}">
  <dimension ref="A1"/>
  <sheetViews>
    <sheetView workbookViewId="0"/>
  </sheetViews>
  <sheetFormatPr defaultRowHeight="1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44E-4245-4FE3-8DE8-B3B8371A81C9}">
  <dimension ref="A1:R95"/>
  <sheetViews>
    <sheetView workbookViewId="0">
      <selection activeCell="B2" sqref="B2"/>
    </sheetView>
  </sheetViews>
  <sheetFormatPr defaultColWidth="8.5703125" defaultRowHeight="15" customHeight="1"/>
  <cols>
    <col min="1" max="1" width="16.42578125" style="6" customWidth="1"/>
    <col min="2" max="2" width="21.28515625" style="6" bestFit="1" customWidth="1"/>
    <col min="3" max="3" width="11.140625" style="6" bestFit="1" customWidth="1"/>
    <col min="4" max="4" width="6" style="6" customWidth="1"/>
    <col min="5" max="5" width="9.7109375" style="6" customWidth="1"/>
    <col min="6" max="6" width="9.85546875" style="6" customWidth="1"/>
    <col min="7" max="7" width="7.85546875" style="25" bestFit="1" customWidth="1"/>
    <col min="8" max="8" width="14.140625" style="6" bestFit="1" customWidth="1"/>
    <col min="9" max="9" width="8.5703125" style="6"/>
    <col min="10" max="10" width="14.28515625" style="6" bestFit="1" customWidth="1"/>
    <col min="11" max="13" width="8.5703125" style="6"/>
    <col min="14" max="14" width="16" style="6" bestFit="1" customWidth="1"/>
    <col min="15" max="15" width="8.5703125" style="6"/>
    <col min="16" max="16" width="10.5703125" style="6" bestFit="1" customWidth="1"/>
    <col min="17" max="17" width="19.7109375" style="6" bestFit="1" customWidth="1"/>
    <col min="18" max="16384" width="8.5703125" style="6"/>
  </cols>
  <sheetData>
    <row r="1" spans="1:18" ht="12.75" customHeight="1">
      <c r="A1" s="26" t="s">
        <v>1606</v>
      </c>
      <c r="B1" s="26" t="s">
        <v>1607</v>
      </c>
      <c r="C1" s="26" t="s">
        <v>1608</v>
      </c>
      <c r="D1" s="26" t="s">
        <v>1609</v>
      </c>
      <c r="E1" s="26" t="s">
        <v>1610</v>
      </c>
      <c r="F1" s="26" t="s">
        <v>1611</v>
      </c>
      <c r="G1" s="27" t="s">
        <v>1612</v>
      </c>
      <c r="H1" s="26" t="s">
        <v>1613</v>
      </c>
      <c r="J1" s="6" t="s">
        <v>1614</v>
      </c>
      <c r="L1" s="6" t="s">
        <v>1610</v>
      </c>
      <c r="N1" s="6" t="s">
        <v>1615</v>
      </c>
      <c r="O1" s="6" t="s">
        <v>1616</v>
      </c>
      <c r="P1" s="6" t="s">
        <v>1617</v>
      </c>
      <c r="Q1" s="6" t="s">
        <v>1618</v>
      </c>
    </row>
    <row r="2" spans="1:18" ht="12.75" customHeight="1">
      <c r="A2" s="7" t="s">
        <v>1619</v>
      </c>
      <c r="B2" s="7" t="s">
        <v>121</v>
      </c>
      <c r="C2" s="7">
        <v>2493.2658000000001</v>
      </c>
      <c r="D2" s="7" t="s">
        <v>1620</v>
      </c>
      <c r="E2" s="7">
        <v>1000</v>
      </c>
      <c r="F2" s="7" t="s">
        <v>1621</v>
      </c>
      <c r="G2" s="8" t="s">
        <v>1622</v>
      </c>
      <c r="H2" s="7"/>
      <c r="J2" s="9" t="s">
        <v>123</v>
      </c>
      <c r="L2" s="6">
        <f>E2*1</f>
        <v>1000</v>
      </c>
      <c r="M2" s="6" t="s">
        <v>1623</v>
      </c>
      <c r="P2" s="6">
        <f>+L2*C2</f>
        <v>2493265.8000000003</v>
      </c>
      <c r="R2" s="6">
        <f>P2</f>
        <v>2493265.8000000003</v>
      </c>
    </row>
    <row r="3" spans="1:18" ht="12.75" customHeight="1">
      <c r="A3" s="9" t="s">
        <v>1619</v>
      </c>
      <c r="B3" s="9" t="s">
        <v>1624</v>
      </c>
      <c r="C3" s="9">
        <v>2497.15</v>
      </c>
      <c r="D3" s="9" t="s">
        <v>1625</v>
      </c>
      <c r="E3" s="9">
        <v>4</v>
      </c>
      <c r="F3" s="9" t="s">
        <v>1621</v>
      </c>
      <c r="G3" s="10">
        <v>2</v>
      </c>
      <c r="H3" s="7">
        <v>-16</v>
      </c>
      <c r="J3" s="9" t="s">
        <v>123</v>
      </c>
      <c r="L3" s="6">
        <f>E3*250</f>
        <v>1000</v>
      </c>
      <c r="M3" s="6" t="s">
        <v>1626</v>
      </c>
      <c r="N3" s="6">
        <v>0</v>
      </c>
      <c r="O3" s="6" t="s">
        <v>1627</v>
      </c>
      <c r="P3" s="6">
        <f>L3*C3</f>
        <v>2497150</v>
      </c>
      <c r="Q3" s="76">
        <f>P2/P3-1</f>
        <v>-1.5554532166668356E-3</v>
      </c>
    </row>
    <row r="4" spans="1:18" ht="12.75" customHeight="1">
      <c r="A4" s="7" t="s">
        <v>1619</v>
      </c>
      <c r="B4" s="7" t="s">
        <v>230</v>
      </c>
      <c r="C4" s="7">
        <v>1918</v>
      </c>
      <c r="D4" s="7" t="s">
        <v>1620</v>
      </c>
      <c r="E4" s="7">
        <v>500</v>
      </c>
      <c r="F4" s="7" t="s">
        <v>1621</v>
      </c>
      <c r="G4" s="8" t="s">
        <v>1622</v>
      </c>
      <c r="H4" s="7"/>
    </row>
    <row r="5" spans="1:18" ht="12.75" customHeight="1">
      <c r="A5" s="9" t="s">
        <v>1619</v>
      </c>
      <c r="B5" s="9" t="s">
        <v>1628</v>
      </c>
      <c r="C5" s="9">
        <v>1920.2</v>
      </c>
      <c r="D5" s="9" t="s">
        <v>1625</v>
      </c>
      <c r="E5" s="9">
        <v>1</v>
      </c>
      <c r="F5" s="9" t="s">
        <v>1621</v>
      </c>
      <c r="G5" s="10">
        <v>2</v>
      </c>
      <c r="H5" s="7" t="s">
        <v>1629</v>
      </c>
    </row>
    <row r="6" spans="1:18" ht="12.75" customHeight="1">
      <c r="A6" s="7" t="s">
        <v>1619</v>
      </c>
      <c r="B6" s="7" t="s">
        <v>420</v>
      </c>
      <c r="C6" s="7">
        <v>759.80880000000002</v>
      </c>
      <c r="D6" s="7" t="s">
        <v>1620</v>
      </c>
      <c r="E6" s="7">
        <v>2475</v>
      </c>
      <c r="F6" s="7" t="s">
        <v>1621</v>
      </c>
      <c r="G6" s="8" t="s">
        <v>1622</v>
      </c>
      <c r="H6" s="7"/>
    </row>
    <row r="7" spans="1:18" ht="12.75" customHeight="1">
      <c r="A7" s="9" t="s">
        <v>1619</v>
      </c>
      <c r="B7" s="9" t="s">
        <v>1630</v>
      </c>
      <c r="C7" s="9">
        <v>760.85</v>
      </c>
      <c r="D7" s="9" t="s">
        <v>1625</v>
      </c>
      <c r="E7" s="9">
        <v>3</v>
      </c>
      <c r="F7" s="9" t="s">
        <v>1621</v>
      </c>
      <c r="G7" s="10">
        <v>2</v>
      </c>
      <c r="H7" s="7" t="s">
        <v>1631</v>
      </c>
    </row>
    <row r="8" spans="1:18" ht="12.75" customHeight="1">
      <c r="A8" s="9" t="s">
        <v>1619</v>
      </c>
      <c r="B8" s="9" t="s">
        <v>1632</v>
      </c>
      <c r="C8" s="9">
        <v>305.8</v>
      </c>
      <c r="D8" s="9" t="s">
        <v>1625</v>
      </c>
      <c r="E8" s="9">
        <v>1</v>
      </c>
      <c r="F8" s="9" t="s">
        <v>1621</v>
      </c>
      <c r="G8" s="10">
        <v>2</v>
      </c>
      <c r="H8" s="7" t="s">
        <v>1633</v>
      </c>
    </row>
    <row r="9" spans="1:18" ht="12.75" customHeight="1">
      <c r="A9" s="7" t="s">
        <v>1619</v>
      </c>
      <c r="B9" s="7" t="s">
        <v>450</v>
      </c>
      <c r="C9" s="7">
        <v>305.35000000000002</v>
      </c>
      <c r="D9" s="7" t="s">
        <v>1620</v>
      </c>
      <c r="E9" s="7">
        <v>2425</v>
      </c>
      <c r="F9" s="7" t="s">
        <v>1621</v>
      </c>
      <c r="G9" s="8" t="s">
        <v>1622</v>
      </c>
      <c r="H9" s="7"/>
    </row>
    <row r="10" spans="1:18" ht="12.75" customHeight="1">
      <c r="A10" s="7" t="s">
        <v>1619</v>
      </c>
      <c r="B10" s="7" t="s">
        <v>536</v>
      </c>
      <c r="C10" s="7">
        <v>1500.9309000000001</v>
      </c>
      <c r="D10" s="7" t="s">
        <v>1620</v>
      </c>
      <c r="E10" s="7">
        <v>1050</v>
      </c>
      <c r="F10" s="7" t="s">
        <v>1621</v>
      </c>
      <c r="G10" s="8" t="s">
        <v>1622</v>
      </c>
      <c r="H10" s="7"/>
    </row>
    <row r="11" spans="1:18" ht="12.75" customHeight="1">
      <c r="A11" s="9" t="s">
        <v>1619</v>
      </c>
      <c r="B11" s="9" t="s">
        <v>1634</v>
      </c>
      <c r="C11" s="9">
        <v>1503.3667</v>
      </c>
      <c r="D11" s="9" t="s">
        <v>1625</v>
      </c>
      <c r="E11" s="9">
        <v>3</v>
      </c>
      <c r="F11" s="9" t="s">
        <v>1621</v>
      </c>
      <c r="G11" s="10">
        <v>2</v>
      </c>
      <c r="H11" s="7" t="s">
        <v>1635</v>
      </c>
    </row>
    <row r="12" spans="1:18" ht="12.75" customHeight="1">
      <c r="A12" s="9" t="s">
        <v>1619</v>
      </c>
      <c r="B12" s="77" t="s">
        <v>1636</v>
      </c>
      <c r="C12" s="9">
        <v>524.96119999999996</v>
      </c>
      <c r="D12" s="9" t="s">
        <v>1625</v>
      </c>
      <c r="E12" s="9">
        <v>138</v>
      </c>
      <c r="F12" s="9" t="s">
        <v>1621</v>
      </c>
      <c r="G12" s="10">
        <v>2</v>
      </c>
      <c r="H12" s="7" t="s">
        <v>1629</v>
      </c>
    </row>
    <row r="13" spans="1:18" ht="12.75" customHeight="1">
      <c r="A13" s="7" t="s">
        <v>1619</v>
      </c>
      <c r="B13" s="78" t="s">
        <v>826</v>
      </c>
      <c r="C13" s="7">
        <v>524.37750000000005</v>
      </c>
      <c r="D13" s="7" t="s">
        <v>1620</v>
      </c>
      <c r="E13" s="7">
        <v>162150</v>
      </c>
      <c r="F13" s="7" t="s">
        <v>1621</v>
      </c>
      <c r="G13" s="8" t="s">
        <v>1622</v>
      </c>
      <c r="H13" s="7"/>
    </row>
    <row r="14" spans="1:18" ht="12.75" customHeight="1">
      <c r="A14" s="9" t="s">
        <v>1619</v>
      </c>
      <c r="B14" s="9" t="s">
        <v>1637</v>
      </c>
      <c r="C14" s="9">
        <v>831.05</v>
      </c>
      <c r="D14" s="9" t="s">
        <v>1625</v>
      </c>
      <c r="E14" s="9">
        <v>1</v>
      </c>
      <c r="F14" s="9" t="s">
        <v>1621</v>
      </c>
      <c r="G14" s="10">
        <v>2</v>
      </c>
      <c r="H14" s="7" t="s">
        <v>1638</v>
      </c>
    </row>
    <row r="15" spans="1:18" ht="12.75" customHeight="1">
      <c r="A15" s="7" t="s">
        <v>1619</v>
      </c>
      <c r="B15" s="7" t="s">
        <v>879</v>
      </c>
      <c r="C15" s="7">
        <v>829.67939999999999</v>
      </c>
      <c r="D15" s="7" t="s">
        <v>1620</v>
      </c>
      <c r="E15" s="7">
        <v>1700</v>
      </c>
      <c r="F15" s="7" t="s">
        <v>1621</v>
      </c>
      <c r="G15" s="8" t="s">
        <v>1622</v>
      </c>
      <c r="H15" s="7"/>
    </row>
    <row r="16" spans="1:18" ht="12.75" customHeight="1">
      <c r="A16" s="7" t="s">
        <v>1619</v>
      </c>
      <c r="B16" s="7" t="s">
        <v>916</v>
      </c>
      <c r="C16" s="7">
        <v>3704.4</v>
      </c>
      <c r="D16" s="7" t="s">
        <v>1620</v>
      </c>
      <c r="E16" s="7">
        <v>175</v>
      </c>
      <c r="F16" s="7" t="s">
        <v>1621</v>
      </c>
      <c r="G16" s="8" t="s">
        <v>1622</v>
      </c>
      <c r="H16" s="7"/>
    </row>
    <row r="17" spans="1:18" ht="12.75" customHeight="1">
      <c r="A17" s="9" t="s">
        <v>1619</v>
      </c>
      <c r="B17" s="9" t="s">
        <v>1639</v>
      </c>
      <c r="C17" s="9">
        <v>3709.2</v>
      </c>
      <c r="D17" s="9" t="s">
        <v>1625</v>
      </c>
      <c r="E17" s="9">
        <v>1</v>
      </c>
      <c r="F17" s="9" t="s">
        <v>1621</v>
      </c>
      <c r="G17" s="10">
        <v>2</v>
      </c>
      <c r="H17" s="7" t="s">
        <v>1640</v>
      </c>
    </row>
    <row r="18" spans="1:18" ht="12.75" customHeight="1">
      <c r="A18" s="7" t="s">
        <v>1619</v>
      </c>
      <c r="B18" s="7" t="s">
        <v>984</v>
      </c>
      <c r="C18" s="7">
        <v>3239.9068000000002</v>
      </c>
      <c r="D18" s="7" t="s">
        <v>1620</v>
      </c>
      <c r="E18" s="7">
        <v>2400</v>
      </c>
      <c r="F18" s="7" t="s">
        <v>1621</v>
      </c>
      <c r="G18" s="8" t="s">
        <v>1622</v>
      </c>
      <c r="H18" s="7"/>
    </row>
    <row r="19" spans="1:18" ht="12.75" customHeight="1">
      <c r="A19" s="9" t="s">
        <v>1619</v>
      </c>
      <c r="B19" s="9" t="s">
        <v>1641</v>
      </c>
      <c r="C19" s="9">
        <v>3244.125</v>
      </c>
      <c r="D19" s="9" t="s">
        <v>1625</v>
      </c>
      <c r="E19" s="9">
        <v>12</v>
      </c>
      <c r="F19" s="9" t="s">
        <v>1621</v>
      </c>
      <c r="G19" s="10">
        <v>2</v>
      </c>
      <c r="H19" s="7" t="s">
        <v>1640</v>
      </c>
    </row>
    <row r="20" spans="1:18" ht="12.75" customHeight="1">
      <c r="A20" s="7" t="s">
        <v>1619</v>
      </c>
      <c r="B20" s="7" t="s">
        <v>1158</v>
      </c>
      <c r="C20" s="7">
        <v>523.51149999999996</v>
      </c>
      <c r="D20" s="7" t="s">
        <v>1620</v>
      </c>
      <c r="E20" s="7">
        <v>56000</v>
      </c>
      <c r="F20" s="7" t="s">
        <v>1621</v>
      </c>
      <c r="G20" s="8" t="s">
        <v>1622</v>
      </c>
      <c r="H20" s="7"/>
    </row>
    <row r="21" spans="1:18" ht="12.75" customHeight="1">
      <c r="A21" s="9" t="s">
        <v>1619</v>
      </c>
      <c r="B21" s="9" t="s">
        <v>1642</v>
      </c>
      <c r="C21" s="9">
        <v>524.00750000000005</v>
      </c>
      <c r="D21" s="9" t="s">
        <v>1625</v>
      </c>
      <c r="E21" s="9">
        <v>80</v>
      </c>
      <c r="F21" s="9" t="s">
        <v>1621</v>
      </c>
      <c r="G21" s="10">
        <v>2</v>
      </c>
      <c r="H21" s="7" t="s">
        <v>1643</v>
      </c>
    </row>
    <row r="22" spans="1:18" ht="12.75" customHeight="1">
      <c r="A22" s="7" t="s">
        <v>1619</v>
      </c>
      <c r="B22" s="7" t="s">
        <v>1174</v>
      </c>
      <c r="C22" s="7">
        <v>3831.4634000000001</v>
      </c>
      <c r="D22" s="7" t="s">
        <v>1620</v>
      </c>
      <c r="E22" s="7">
        <v>5950</v>
      </c>
      <c r="F22" s="7" t="s">
        <v>1621</v>
      </c>
      <c r="G22" s="8" t="s">
        <v>1622</v>
      </c>
      <c r="H22" s="7"/>
    </row>
    <row r="23" spans="1:18" ht="12.75" customHeight="1">
      <c r="A23" s="9" t="s">
        <v>1619</v>
      </c>
      <c r="B23" s="9" t="s">
        <v>1644</v>
      </c>
      <c r="C23" s="9">
        <v>3832.1705999999999</v>
      </c>
      <c r="D23" s="9" t="s">
        <v>1625</v>
      </c>
      <c r="E23" s="9">
        <v>34</v>
      </c>
      <c r="F23" s="9" t="s">
        <v>1621</v>
      </c>
      <c r="G23" s="10">
        <v>2</v>
      </c>
      <c r="H23" s="7" t="s">
        <v>1645</v>
      </c>
    </row>
    <row r="24" spans="1:18" ht="12.75" customHeight="1">
      <c r="A24" s="7" t="s">
        <v>1619</v>
      </c>
      <c r="B24" s="7" t="s">
        <v>1182</v>
      </c>
      <c r="C24" s="7">
        <v>3101.7784000000001</v>
      </c>
      <c r="D24" s="7" t="s">
        <v>1620</v>
      </c>
      <c r="E24" s="7">
        <v>250</v>
      </c>
      <c r="F24" s="7" t="s">
        <v>1621</v>
      </c>
      <c r="G24" s="8" t="s">
        <v>1622</v>
      </c>
      <c r="H24" s="7"/>
      <c r="J24" s="9" t="s">
        <v>1184</v>
      </c>
      <c r="L24" s="6">
        <f>1*E24</f>
        <v>250</v>
      </c>
      <c r="M24" s="6" t="s">
        <v>1623</v>
      </c>
      <c r="O24" s="6">
        <f>+C24-10</f>
        <v>3091.7784000000001</v>
      </c>
      <c r="P24" s="6">
        <f>O24*L24</f>
        <v>772944.60000000009</v>
      </c>
      <c r="R24" s="6">
        <f>P24</f>
        <v>772944.60000000009</v>
      </c>
    </row>
    <row r="25" spans="1:18" ht="12.75" customHeight="1">
      <c r="A25" s="9" t="s">
        <v>1619</v>
      </c>
      <c r="B25" s="9" t="s">
        <v>1646</v>
      </c>
      <c r="C25" s="9">
        <v>3096.9</v>
      </c>
      <c r="D25" s="9" t="s">
        <v>1625</v>
      </c>
      <c r="E25" s="9">
        <v>1</v>
      </c>
      <c r="F25" s="9" t="s">
        <v>1621</v>
      </c>
      <c r="G25" s="10">
        <v>2</v>
      </c>
      <c r="H25" s="11" t="s">
        <v>1647</v>
      </c>
      <c r="J25" s="9" t="s">
        <v>1184</v>
      </c>
      <c r="L25" s="6">
        <f>250*E25</f>
        <v>250</v>
      </c>
      <c r="M25" s="6" t="s">
        <v>1626</v>
      </c>
      <c r="N25" s="6">
        <v>0</v>
      </c>
      <c r="O25" s="6">
        <f>C25</f>
        <v>3096.9</v>
      </c>
      <c r="P25" s="6">
        <f>O25*L25</f>
        <v>774225</v>
      </c>
      <c r="Q25" s="76">
        <f>P24/P25-1</f>
        <v>-1.6537828150730016E-3</v>
      </c>
    </row>
    <row r="26" spans="1:18" ht="12.75" customHeight="1">
      <c r="A26" s="9" t="s">
        <v>1619</v>
      </c>
      <c r="B26" s="77" t="s">
        <v>1648</v>
      </c>
      <c r="C26" s="9">
        <v>6694</v>
      </c>
      <c r="D26" s="9" t="s">
        <v>1625</v>
      </c>
      <c r="E26" s="9">
        <v>3</v>
      </c>
      <c r="F26" s="9" t="s">
        <v>1621</v>
      </c>
      <c r="G26" s="10">
        <v>2</v>
      </c>
      <c r="H26" s="7">
        <v>-21</v>
      </c>
    </row>
    <row r="27" spans="1:18" ht="12.75" customHeight="1">
      <c r="A27" s="7" t="s">
        <v>1619</v>
      </c>
      <c r="B27" s="78" t="s">
        <v>1228</v>
      </c>
      <c r="C27" s="7">
        <v>6679.7493000000004</v>
      </c>
      <c r="D27" s="7" t="s">
        <v>1620</v>
      </c>
      <c r="E27" s="7">
        <v>375</v>
      </c>
      <c r="F27" s="7" t="s">
        <v>1621</v>
      </c>
      <c r="G27" s="8" t="s">
        <v>1622</v>
      </c>
      <c r="H27" s="7"/>
    </row>
    <row r="28" spans="1:18" ht="12.75" customHeight="1">
      <c r="A28" s="7" t="s">
        <v>1619</v>
      </c>
      <c r="B28" s="7" t="s">
        <v>1372</v>
      </c>
      <c r="C28" s="7">
        <v>2869.6994</v>
      </c>
      <c r="D28" s="7" t="s">
        <v>1620</v>
      </c>
      <c r="E28" s="7">
        <v>800</v>
      </c>
      <c r="F28" s="7" t="s">
        <v>1621</v>
      </c>
      <c r="G28" s="8" t="s">
        <v>1622</v>
      </c>
      <c r="H28" s="7"/>
    </row>
    <row r="29" spans="1:18" ht="12.75" customHeight="1">
      <c r="A29" s="9" t="s">
        <v>1619</v>
      </c>
      <c r="B29" s="9" t="s">
        <v>1649</v>
      </c>
      <c r="C29" s="9">
        <v>2872.9749999999999</v>
      </c>
      <c r="D29" s="9" t="s">
        <v>1625</v>
      </c>
      <c r="E29" s="9">
        <v>4</v>
      </c>
      <c r="F29" s="9" t="s">
        <v>1621</v>
      </c>
      <c r="G29" s="10">
        <v>2</v>
      </c>
      <c r="H29" s="7" t="s">
        <v>1629</v>
      </c>
    </row>
    <row r="30" spans="1:18" ht="12.75" customHeight="1">
      <c r="A30" s="7" t="s">
        <v>1619</v>
      </c>
      <c r="B30" s="7" t="s">
        <v>1380</v>
      </c>
      <c r="C30" s="7">
        <v>63.295000000000002</v>
      </c>
      <c r="D30" s="7" t="s">
        <v>1620</v>
      </c>
      <c r="E30" s="7">
        <v>16000</v>
      </c>
      <c r="F30" s="7" t="s">
        <v>1621</v>
      </c>
      <c r="G30" s="8" t="s">
        <v>1622</v>
      </c>
      <c r="H30" s="7"/>
    </row>
    <row r="31" spans="1:18" ht="12.75" customHeight="1">
      <c r="A31" s="9" t="s">
        <v>1619</v>
      </c>
      <c r="B31" s="9" t="s">
        <v>1650</v>
      </c>
      <c r="C31" s="9">
        <v>63.384999999999998</v>
      </c>
      <c r="D31" s="9" t="s">
        <v>1625</v>
      </c>
      <c r="E31" s="9">
        <v>2</v>
      </c>
      <c r="F31" s="9" t="s">
        <v>1621</v>
      </c>
      <c r="G31" s="10">
        <v>2</v>
      </c>
      <c r="H31" s="7" t="s">
        <v>1631</v>
      </c>
    </row>
    <row r="32" spans="1:18" ht="12.75" customHeight="1">
      <c r="A32" s="7" t="s">
        <v>1619</v>
      </c>
      <c r="B32" s="7" t="s">
        <v>1388</v>
      </c>
      <c r="C32" s="7">
        <v>1625.3380999999999</v>
      </c>
      <c r="D32" s="7" t="s">
        <v>1620</v>
      </c>
      <c r="E32" s="7">
        <v>7000</v>
      </c>
      <c r="F32" s="7" t="s">
        <v>1621</v>
      </c>
      <c r="G32" s="8" t="s">
        <v>1622</v>
      </c>
      <c r="H32" s="7"/>
    </row>
    <row r="33" spans="1:8" ht="12.75" customHeight="1">
      <c r="A33" s="9" t="s">
        <v>1619</v>
      </c>
      <c r="B33" s="9" t="s">
        <v>1651</v>
      </c>
      <c r="C33" s="9">
        <v>1627.355</v>
      </c>
      <c r="D33" s="9" t="s">
        <v>1625</v>
      </c>
      <c r="E33" s="9">
        <v>20</v>
      </c>
      <c r="F33" s="9" t="s">
        <v>1621</v>
      </c>
      <c r="G33" s="10">
        <v>2</v>
      </c>
      <c r="H33" s="7" t="s">
        <v>1652</v>
      </c>
    </row>
    <row r="34" spans="1:8" ht="12.75" customHeight="1">
      <c r="A34" s="9" t="s">
        <v>1619</v>
      </c>
      <c r="B34" s="9" t="s">
        <v>1653</v>
      </c>
      <c r="C34" s="9">
        <v>795.65</v>
      </c>
      <c r="D34" s="9" t="s">
        <v>1625</v>
      </c>
      <c r="E34" s="9">
        <v>30</v>
      </c>
      <c r="F34" s="9" t="s">
        <v>1621</v>
      </c>
      <c r="G34" s="10">
        <v>2</v>
      </c>
      <c r="H34" s="11" t="s">
        <v>1654</v>
      </c>
    </row>
    <row r="35" spans="1:8" ht="12.75" customHeight="1">
      <c r="A35" s="7" t="s">
        <v>1619</v>
      </c>
      <c r="B35" s="7" t="s">
        <v>1455</v>
      </c>
      <c r="C35" s="7">
        <v>796.4153</v>
      </c>
      <c r="D35" s="7" t="s">
        <v>1620</v>
      </c>
      <c r="E35" s="7">
        <v>21750</v>
      </c>
      <c r="F35" s="7" t="s">
        <v>1621</v>
      </c>
      <c r="G35" s="8" t="s">
        <v>1622</v>
      </c>
      <c r="H35" s="7"/>
    </row>
    <row r="36" spans="1:8" ht="12.75" customHeight="1">
      <c r="A36" s="7" t="s">
        <v>1619</v>
      </c>
      <c r="B36" s="7" t="s">
        <v>1548</v>
      </c>
      <c r="C36" s="7">
        <v>12472.9329</v>
      </c>
      <c r="D36" s="7" t="s">
        <v>1620</v>
      </c>
      <c r="E36" s="7">
        <v>700</v>
      </c>
      <c r="F36" s="7" t="s">
        <v>1621</v>
      </c>
      <c r="G36" s="8" t="s">
        <v>1622</v>
      </c>
      <c r="H36" s="7"/>
    </row>
    <row r="37" spans="1:8" ht="12.75" customHeight="1">
      <c r="A37" s="9" t="s">
        <v>1619</v>
      </c>
      <c r="B37" s="9" t="s">
        <v>1655</v>
      </c>
      <c r="C37" s="9">
        <v>12488.428599999999</v>
      </c>
      <c r="D37" s="9" t="s">
        <v>1625</v>
      </c>
      <c r="E37" s="9">
        <v>14</v>
      </c>
      <c r="F37" s="9" t="s">
        <v>1621</v>
      </c>
      <c r="G37" s="10">
        <v>2</v>
      </c>
      <c r="H37" s="7" t="s">
        <v>1652</v>
      </c>
    </row>
    <row r="38" spans="1:8" ht="15" customHeight="1">
      <c r="A38" s="12" t="s">
        <v>1619</v>
      </c>
      <c r="B38" s="13" t="s">
        <v>1656</v>
      </c>
      <c r="C38" s="14">
        <v>1572.7634</v>
      </c>
      <c r="D38" s="13" t="s">
        <v>1657</v>
      </c>
      <c r="E38" s="14">
        <v>350</v>
      </c>
      <c r="F38" s="13" t="s">
        <v>1658</v>
      </c>
      <c r="G38" s="13">
        <v>1</v>
      </c>
      <c r="H38" s="15"/>
    </row>
    <row r="39" spans="1:8" ht="15" customHeight="1">
      <c r="A39" s="16" t="s">
        <v>1619</v>
      </c>
      <c r="B39" s="17" t="s">
        <v>1659</v>
      </c>
      <c r="C39" s="18">
        <v>1572.8</v>
      </c>
      <c r="D39" s="17" t="s">
        <v>1660</v>
      </c>
      <c r="E39" s="18">
        <v>1</v>
      </c>
      <c r="F39" s="17" t="s">
        <v>1658</v>
      </c>
      <c r="G39" s="17">
        <v>1</v>
      </c>
      <c r="H39" s="19" t="s">
        <v>1661</v>
      </c>
    </row>
    <row r="40" spans="1:8" ht="15" customHeight="1">
      <c r="A40" s="16" t="s">
        <v>1619</v>
      </c>
      <c r="B40" s="17" t="s">
        <v>1662</v>
      </c>
      <c r="C40" s="18">
        <v>1164.6941999999999</v>
      </c>
      <c r="D40" s="17" t="s">
        <v>1657</v>
      </c>
      <c r="E40" s="18">
        <v>2500</v>
      </c>
      <c r="F40" s="17" t="s">
        <v>1658</v>
      </c>
      <c r="G40" s="17">
        <v>1</v>
      </c>
      <c r="H40" s="20"/>
    </row>
    <row r="41" spans="1:8" ht="15" customHeight="1">
      <c r="A41" s="16" t="s">
        <v>1619</v>
      </c>
      <c r="B41" s="17" t="s">
        <v>1663</v>
      </c>
      <c r="C41" s="18">
        <v>1169.68</v>
      </c>
      <c r="D41" s="17" t="s">
        <v>1660</v>
      </c>
      <c r="E41" s="18">
        <v>5</v>
      </c>
      <c r="F41" s="17" t="s">
        <v>1658</v>
      </c>
      <c r="G41" s="17">
        <v>1</v>
      </c>
      <c r="H41" s="20">
        <v>42.81</v>
      </c>
    </row>
    <row r="42" spans="1:8" ht="15" customHeight="1">
      <c r="A42" s="16" t="s">
        <v>1619</v>
      </c>
      <c r="B42" s="17" t="s">
        <v>1664</v>
      </c>
      <c r="C42" s="18">
        <v>2206.0495999999998</v>
      </c>
      <c r="D42" s="17" t="s">
        <v>1657</v>
      </c>
      <c r="E42" s="18">
        <v>900</v>
      </c>
      <c r="F42" s="17" t="s">
        <v>1658</v>
      </c>
      <c r="G42" s="17">
        <v>1</v>
      </c>
      <c r="H42" s="20"/>
    </row>
    <row r="43" spans="1:8" ht="15" customHeight="1">
      <c r="A43" s="16" t="s">
        <v>1619</v>
      </c>
      <c r="B43" s="17" t="s">
        <v>1665</v>
      </c>
      <c r="C43" s="18">
        <v>2215.4749999999999</v>
      </c>
      <c r="D43" s="17" t="s">
        <v>1660</v>
      </c>
      <c r="E43" s="18">
        <v>4</v>
      </c>
      <c r="F43" s="17" t="s">
        <v>1658</v>
      </c>
      <c r="G43" s="17">
        <v>1</v>
      </c>
      <c r="H43" s="20">
        <v>42.73</v>
      </c>
    </row>
    <row r="44" spans="1:8" ht="15" customHeight="1">
      <c r="A44" s="16" t="s">
        <v>1619</v>
      </c>
      <c r="B44" s="17" t="s">
        <v>1666</v>
      </c>
      <c r="C44" s="18">
        <v>316.22969999999998</v>
      </c>
      <c r="D44" s="17" t="s">
        <v>1657</v>
      </c>
      <c r="E44" s="18">
        <v>19800</v>
      </c>
      <c r="F44" s="17" t="s">
        <v>1658</v>
      </c>
      <c r="G44" s="17">
        <v>1</v>
      </c>
      <c r="H44" s="20"/>
    </row>
    <row r="45" spans="1:8" ht="15" customHeight="1">
      <c r="A45" s="16" t="s">
        <v>1619</v>
      </c>
      <c r="B45" s="17" t="s">
        <v>1667</v>
      </c>
      <c r="C45" s="18">
        <v>317.49090000000001</v>
      </c>
      <c r="D45" s="17" t="s">
        <v>1660</v>
      </c>
      <c r="E45" s="18">
        <v>11</v>
      </c>
      <c r="F45" s="17" t="s">
        <v>1658</v>
      </c>
      <c r="G45" s="17">
        <v>1</v>
      </c>
      <c r="H45" s="20">
        <v>39.880000000000003</v>
      </c>
    </row>
    <row r="46" spans="1:8" ht="15" customHeight="1">
      <c r="A46" s="16" t="s">
        <v>1619</v>
      </c>
      <c r="B46" s="17" t="s">
        <v>1668</v>
      </c>
      <c r="C46" s="18">
        <v>3796.6190000000001</v>
      </c>
      <c r="D46" s="17" t="s">
        <v>1657</v>
      </c>
      <c r="E46" s="18">
        <v>400</v>
      </c>
      <c r="F46" s="17" t="s">
        <v>1658</v>
      </c>
      <c r="G46" s="17">
        <v>1</v>
      </c>
      <c r="H46" s="20"/>
    </row>
    <row r="47" spans="1:8" ht="15" customHeight="1">
      <c r="A47" s="16" t="s">
        <v>1619</v>
      </c>
      <c r="B47" s="17" t="s">
        <v>1669</v>
      </c>
      <c r="C47" s="18">
        <v>3812.9</v>
      </c>
      <c r="D47" s="17" t="s">
        <v>1660</v>
      </c>
      <c r="E47" s="18">
        <v>2</v>
      </c>
      <c r="F47" s="17" t="s">
        <v>1658</v>
      </c>
      <c r="G47" s="17">
        <v>1</v>
      </c>
      <c r="H47" s="20">
        <v>42.88</v>
      </c>
    </row>
    <row r="48" spans="1:8" ht="15" customHeight="1">
      <c r="A48" s="16" t="s">
        <v>1619</v>
      </c>
      <c r="B48" s="17" t="s">
        <v>1670</v>
      </c>
      <c r="C48" s="18">
        <v>5658.28</v>
      </c>
      <c r="D48" s="17" t="s">
        <v>1657</v>
      </c>
      <c r="E48" s="18">
        <v>350</v>
      </c>
      <c r="F48" s="17" t="s">
        <v>1658</v>
      </c>
      <c r="G48" s="17">
        <v>1</v>
      </c>
      <c r="H48" s="20"/>
    </row>
    <row r="49" spans="1:8" ht="15" customHeight="1">
      <c r="A49" s="16" t="s">
        <v>1619</v>
      </c>
      <c r="B49" s="17" t="s">
        <v>1671</v>
      </c>
      <c r="C49" s="18">
        <v>5680.5</v>
      </c>
      <c r="D49" s="17" t="s">
        <v>1660</v>
      </c>
      <c r="E49" s="18">
        <v>2</v>
      </c>
      <c r="F49" s="17" t="s">
        <v>1658</v>
      </c>
      <c r="G49" s="17">
        <v>1</v>
      </c>
      <c r="H49" s="20">
        <v>39.270000000000003</v>
      </c>
    </row>
    <row r="50" spans="1:8" ht="15" customHeight="1">
      <c r="A50" s="16" t="s">
        <v>1619</v>
      </c>
      <c r="B50" s="17" t="s">
        <v>1672</v>
      </c>
      <c r="C50" s="18">
        <v>196.1498</v>
      </c>
      <c r="D50" s="17" t="s">
        <v>1657</v>
      </c>
      <c r="E50" s="18">
        <v>10000</v>
      </c>
      <c r="F50" s="17" t="s">
        <v>1658</v>
      </c>
      <c r="G50" s="17">
        <v>1</v>
      </c>
      <c r="H50" s="20"/>
    </row>
    <row r="51" spans="1:8" ht="15" customHeight="1">
      <c r="A51" s="16" t="s">
        <v>1619</v>
      </c>
      <c r="B51" s="17" t="s">
        <v>1673</v>
      </c>
      <c r="C51" s="18">
        <v>195.71</v>
      </c>
      <c r="D51" s="17" t="s">
        <v>1660</v>
      </c>
      <c r="E51" s="18">
        <v>2</v>
      </c>
      <c r="F51" s="17" t="s">
        <v>1658</v>
      </c>
      <c r="G51" s="17">
        <v>1</v>
      </c>
      <c r="H51" s="19" t="s">
        <v>1674</v>
      </c>
    </row>
    <row r="52" spans="1:8" ht="15" customHeight="1">
      <c r="A52" s="16" t="s">
        <v>1619</v>
      </c>
      <c r="B52" s="17" t="s">
        <v>1675</v>
      </c>
      <c r="C52" s="18">
        <v>174.18510000000001</v>
      </c>
      <c r="D52" s="17" t="s">
        <v>1657</v>
      </c>
      <c r="E52" s="18">
        <v>15750</v>
      </c>
      <c r="F52" s="17" t="s">
        <v>1658</v>
      </c>
      <c r="G52" s="17">
        <v>1</v>
      </c>
      <c r="H52" s="20"/>
    </row>
    <row r="53" spans="1:8" ht="15" customHeight="1">
      <c r="A53" s="16" t="s">
        <v>1619</v>
      </c>
      <c r="B53" s="17" t="s">
        <v>1676</v>
      </c>
      <c r="C53" s="18">
        <v>174.89</v>
      </c>
      <c r="D53" s="17" t="s">
        <v>1660</v>
      </c>
      <c r="E53" s="18">
        <v>5</v>
      </c>
      <c r="F53" s="17" t="s">
        <v>1658</v>
      </c>
      <c r="G53" s="17">
        <v>1</v>
      </c>
      <c r="H53" s="20">
        <v>40.47</v>
      </c>
    </row>
    <row r="54" spans="1:8" ht="15" customHeight="1">
      <c r="A54" s="16" t="s">
        <v>1619</v>
      </c>
      <c r="B54" s="17" t="s">
        <v>1677</v>
      </c>
      <c r="C54" s="18">
        <v>1968.0687</v>
      </c>
      <c r="D54" s="17" t="s">
        <v>1657</v>
      </c>
      <c r="E54" s="18">
        <v>275</v>
      </c>
      <c r="F54" s="17" t="s">
        <v>1658</v>
      </c>
      <c r="G54" s="17">
        <v>1</v>
      </c>
      <c r="H54" s="20"/>
    </row>
    <row r="55" spans="1:8" ht="15" customHeight="1">
      <c r="A55" s="16" t="s">
        <v>1619</v>
      </c>
      <c r="B55" s="17" t="s">
        <v>1678</v>
      </c>
      <c r="C55" s="18">
        <v>1975.1</v>
      </c>
      <c r="D55" s="17" t="s">
        <v>1660</v>
      </c>
      <c r="E55" s="18">
        <v>1</v>
      </c>
      <c r="F55" s="17" t="s">
        <v>1658</v>
      </c>
      <c r="G55" s="17">
        <v>1</v>
      </c>
      <c r="H55" s="20">
        <v>35.729999999999997</v>
      </c>
    </row>
    <row r="56" spans="1:8" ht="15" customHeight="1">
      <c r="A56" s="16" t="s">
        <v>1619</v>
      </c>
      <c r="B56" s="17" t="s">
        <v>1679</v>
      </c>
      <c r="C56" s="18">
        <v>665.56610000000001</v>
      </c>
      <c r="D56" s="17" t="s">
        <v>1657</v>
      </c>
      <c r="E56" s="18">
        <v>9800</v>
      </c>
      <c r="F56" s="17" t="s">
        <v>1658</v>
      </c>
      <c r="G56" s="17">
        <v>1</v>
      </c>
      <c r="H56" s="20"/>
    </row>
    <row r="57" spans="1:8" ht="15" customHeight="1">
      <c r="A57" s="16" t="s">
        <v>1619</v>
      </c>
      <c r="B57" s="17" t="s">
        <v>1680</v>
      </c>
      <c r="C57" s="18">
        <v>668.22140000000002</v>
      </c>
      <c r="D57" s="17" t="s">
        <v>1660</v>
      </c>
      <c r="E57" s="18">
        <v>7</v>
      </c>
      <c r="F57" s="17" t="s">
        <v>1658</v>
      </c>
      <c r="G57" s="17">
        <v>1</v>
      </c>
      <c r="H57" s="20">
        <v>39.9</v>
      </c>
    </row>
    <row r="58" spans="1:8" ht="15" customHeight="1">
      <c r="A58" s="16" t="s">
        <v>1619</v>
      </c>
      <c r="B58" s="17" t="s">
        <v>1681</v>
      </c>
      <c r="C58" s="18">
        <v>1022.6794</v>
      </c>
      <c r="D58" s="17" t="s">
        <v>1657</v>
      </c>
      <c r="E58" s="18">
        <v>1000</v>
      </c>
      <c r="F58" s="17" t="s">
        <v>1658</v>
      </c>
      <c r="G58" s="17">
        <v>1</v>
      </c>
      <c r="H58" s="20"/>
    </row>
    <row r="59" spans="1:8" ht="15" customHeight="1">
      <c r="A59" s="16" t="s">
        <v>1619</v>
      </c>
      <c r="B59" s="17" t="s">
        <v>1682</v>
      </c>
      <c r="C59" s="18">
        <v>1026.45</v>
      </c>
      <c r="D59" s="17" t="s">
        <v>1660</v>
      </c>
      <c r="E59" s="18">
        <v>2</v>
      </c>
      <c r="F59" s="17" t="s">
        <v>1658</v>
      </c>
      <c r="G59" s="17">
        <v>1</v>
      </c>
      <c r="H59" s="20">
        <v>36.869999999999997</v>
      </c>
    </row>
    <row r="60" spans="1:8" ht="15" customHeight="1">
      <c r="A60" s="16" t="s">
        <v>1619</v>
      </c>
      <c r="B60" s="17" t="s">
        <v>1683</v>
      </c>
      <c r="C60" s="18">
        <v>991.5498</v>
      </c>
      <c r="D60" s="17" t="s">
        <v>1657</v>
      </c>
      <c r="E60" s="18">
        <v>1250</v>
      </c>
      <c r="F60" s="17" t="s">
        <v>1658</v>
      </c>
      <c r="G60" s="17">
        <v>1</v>
      </c>
      <c r="H60" s="20"/>
    </row>
    <row r="61" spans="1:8" ht="15" customHeight="1">
      <c r="A61" s="16" t="s">
        <v>1619</v>
      </c>
      <c r="B61" s="17" t="s">
        <v>1684</v>
      </c>
      <c r="C61" s="18">
        <v>993.85</v>
      </c>
      <c r="D61" s="17" t="s">
        <v>1660</v>
      </c>
      <c r="E61" s="18">
        <v>2</v>
      </c>
      <c r="F61" s="17" t="s">
        <v>1658</v>
      </c>
      <c r="G61" s="17">
        <v>1</v>
      </c>
      <c r="H61" s="19" t="s">
        <v>1685</v>
      </c>
    </row>
    <row r="62" spans="1:8" ht="15" customHeight="1">
      <c r="A62" s="16" t="s">
        <v>1619</v>
      </c>
      <c r="B62" s="17" t="s">
        <v>1686</v>
      </c>
      <c r="C62" s="18">
        <v>633.79060000000004</v>
      </c>
      <c r="D62" s="17" t="s">
        <v>1657</v>
      </c>
      <c r="E62" s="18">
        <v>3750</v>
      </c>
      <c r="F62" s="17" t="s">
        <v>1658</v>
      </c>
      <c r="G62" s="17">
        <v>1</v>
      </c>
      <c r="H62" s="20"/>
    </row>
    <row r="63" spans="1:8" ht="15" customHeight="1">
      <c r="A63" s="16" t="s">
        <v>1619</v>
      </c>
      <c r="B63" s="17" t="s">
        <v>1687</v>
      </c>
      <c r="C63" s="18">
        <v>636.4</v>
      </c>
      <c r="D63" s="17" t="s">
        <v>1660</v>
      </c>
      <c r="E63" s="18">
        <v>3</v>
      </c>
      <c r="F63" s="17" t="s">
        <v>1658</v>
      </c>
      <c r="G63" s="17">
        <v>1</v>
      </c>
      <c r="H63" s="20">
        <v>41.17</v>
      </c>
    </row>
    <row r="64" spans="1:8" ht="15" customHeight="1">
      <c r="A64" s="16" t="s">
        <v>1619</v>
      </c>
      <c r="B64" s="17" t="s">
        <v>1688</v>
      </c>
      <c r="C64" s="18">
        <v>1216.5036</v>
      </c>
      <c r="D64" s="17" t="s">
        <v>1657</v>
      </c>
      <c r="E64" s="18">
        <v>23850</v>
      </c>
      <c r="F64" s="17" t="s">
        <v>1658</v>
      </c>
      <c r="G64" s="17">
        <v>1</v>
      </c>
      <c r="H64" s="20"/>
    </row>
    <row r="65" spans="1:10" ht="15" customHeight="1">
      <c r="A65" s="16" t="s">
        <v>1619</v>
      </c>
      <c r="B65" s="17" t="s">
        <v>1689</v>
      </c>
      <c r="C65" s="18">
        <v>1217.7924</v>
      </c>
      <c r="D65" s="17" t="s">
        <v>1660</v>
      </c>
      <c r="E65" s="18">
        <v>53</v>
      </c>
      <c r="F65" s="17" t="s">
        <v>1658</v>
      </c>
      <c r="G65" s="17">
        <v>1</v>
      </c>
      <c r="H65" s="19" t="s">
        <v>1690</v>
      </c>
    </row>
    <row r="66" spans="1:10" ht="15" customHeight="1">
      <c r="A66" s="16" t="s">
        <v>1619</v>
      </c>
      <c r="B66" s="17" t="s">
        <v>1691</v>
      </c>
      <c r="C66" s="18">
        <v>1342.3194000000001</v>
      </c>
      <c r="D66" s="17" t="s">
        <v>1657</v>
      </c>
      <c r="E66" s="18">
        <v>4875</v>
      </c>
      <c r="F66" s="17" t="s">
        <v>1658</v>
      </c>
      <c r="G66" s="17">
        <v>1</v>
      </c>
      <c r="H66" s="20"/>
    </row>
    <row r="67" spans="1:10" ht="15" customHeight="1">
      <c r="A67" s="16" t="s">
        <v>1619</v>
      </c>
      <c r="B67" s="17" t="s">
        <v>1692</v>
      </c>
      <c r="C67" s="18">
        <v>1347.7307000000001</v>
      </c>
      <c r="D67" s="17" t="s">
        <v>1660</v>
      </c>
      <c r="E67" s="18">
        <v>13</v>
      </c>
      <c r="F67" s="17" t="s">
        <v>1658</v>
      </c>
      <c r="G67" s="17">
        <v>1</v>
      </c>
      <c r="H67" s="20">
        <v>40.31</v>
      </c>
    </row>
    <row r="68" spans="1:10" ht="15" customHeight="1">
      <c r="A68" s="16" t="s">
        <v>1619</v>
      </c>
      <c r="B68" s="17" t="s">
        <v>1693</v>
      </c>
      <c r="C68" s="18">
        <v>70.920199999999994</v>
      </c>
      <c r="D68" s="17" t="s">
        <v>1657</v>
      </c>
      <c r="E68" s="18">
        <v>40500</v>
      </c>
      <c r="F68" s="17" t="s">
        <v>1658</v>
      </c>
      <c r="G68" s="17">
        <v>1</v>
      </c>
      <c r="H68" s="20"/>
    </row>
    <row r="69" spans="1:10" ht="15" customHeight="1">
      <c r="A69" s="16" t="s">
        <v>1619</v>
      </c>
      <c r="B69" s="17" t="s">
        <v>1694</v>
      </c>
      <c r="C69" s="18">
        <v>70.17</v>
      </c>
      <c r="D69" s="17" t="s">
        <v>1660</v>
      </c>
      <c r="E69" s="18">
        <v>3</v>
      </c>
      <c r="F69" s="17" t="s">
        <v>1658</v>
      </c>
      <c r="G69" s="17">
        <v>1</v>
      </c>
      <c r="H69" s="19" t="s">
        <v>1695</v>
      </c>
    </row>
    <row r="70" spans="1:10" ht="15" customHeight="1">
      <c r="A70" s="16" t="s">
        <v>1619</v>
      </c>
      <c r="B70" s="17" t="s">
        <v>1696</v>
      </c>
      <c r="C70" s="18">
        <v>420.53339999999997</v>
      </c>
      <c r="D70" s="17" t="s">
        <v>1657</v>
      </c>
      <c r="E70" s="18">
        <v>5200</v>
      </c>
      <c r="F70" s="17" t="s">
        <v>1658</v>
      </c>
      <c r="G70" s="17">
        <v>1</v>
      </c>
      <c r="H70" s="20"/>
    </row>
    <row r="71" spans="1:10" ht="29.25">
      <c r="A71" s="16" t="s">
        <v>1619</v>
      </c>
      <c r="B71" s="17" t="s">
        <v>1697</v>
      </c>
      <c r="C71" s="18">
        <v>418.46249999999998</v>
      </c>
      <c r="D71" s="17" t="s">
        <v>1660</v>
      </c>
      <c r="E71" s="18">
        <v>4</v>
      </c>
      <c r="F71" s="17" t="s">
        <v>1658</v>
      </c>
      <c r="G71" s="17">
        <v>1</v>
      </c>
      <c r="H71" s="19" t="s">
        <v>1698</v>
      </c>
    </row>
    <row r="72" spans="1:10" ht="15" customHeight="1">
      <c r="A72" s="16" t="s">
        <v>1619</v>
      </c>
      <c r="B72" s="17" t="s">
        <v>1699</v>
      </c>
      <c r="C72" s="18">
        <v>30512.54</v>
      </c>
      <c r="D72" s="17" t="s">
        <v>1657</v>
      </c>
      <c r="E72" s="18">
        <v>250</v>
      </c>
      <c r="F72" s="17" t="s">
        <v>1658</v>
      </c>
      <c r="G72" s="17">
        <v>1</v>
      </c>
      <c r="H72" s="20"/>
    </row>
    <row r="73" spans="1:10" ht="15" customHeight="1">
      <c r="A73" s="16" t="s">
        <v>1619</v>
      </c>
      <c r="B73" s="17" t="s">
        <v>1700</v>
      </c>
      <c r="C73" s="18">
        <v>30638</v>
      </c>
      <c r="D73" s="17" t="s">
        <v>1660</v>
      </c>
      <c r="E73" s="18">
        <v>10</v>
      </c>
      <c r="F73" s="17" t="s">
        <v>1658</v>
      </c>
      <c r="G73" s="17">
        <v>1</v>
      </c>
      <c r="H73" s="20">
        <v>41.12</v>
      </c>
    </row>
    <row r="74" spans="1:10" ht="15" customHeight="1">
      <c r="A74" s="16" t="s">
        <v>1619</v>
      </c>
      <c r="B74" s="17" t="s">
        <v>1701</v>
      </c>
      <c r="C74" s="18">
        <v>613.20000000000005</v>
      </c>
      <c r="D74" s="17" t="s">
        <v>1657</v>
      </c>
      <c r="E74" s="18">
        <v>825</v>
      </c>
      <c r="F74" s="17" t="s">
        <v>1658</v>
      </c>
      <c r="G74" s="17">
        <v>1</v>
      </c>
      <c r="H74" s="20"/>
    </row>
    <row r="75" spans="1:10" ht="15" customHeight="1">
      <c r="A75" s="16" t="s">
        <v>1619</v>
      </c>
      <c r="B75" s="17" t="s">
        <v>1702</v>
      </c>
      <c r="C75" s="18">
        <v>615.79999999999995</v>
      </c>
      <c r="D75" s="17" t="s">
        <v>1660</v>
      </c>
      <c r="E75" s="18">
        <v>1</v>
      </c>
      <c r="F75" s="17" t="s">
        <v>1658</v>
      </c>
      <c r="G75" s="17">
        <v>1</v>
      </c>
      <c r="H75" s="20">
        <v>42.4</v>
      </c>
    </row>
    <row r="76" spans="1:10" ht="15" customHeight="1">
      <c r="A76" s="16" t="s">
        <v>1619</v>
      </c>
      <c r="B76" s="17" t="s">
        <v>1703</v>
      </c>
      <c r="C76" s="18">
        <v>657.15800000000002</v>
      </c>
      <c r="D76" s="17" t="s">
        <v>1657</v>
      </c>
      <c r="E76" s="18">
        <v>1600</v>
      </c>
      <c r="F76" s="17" t="s">
        <v>1658</v>
      </c>
      <c r="G76" s="17">
        <v>1</v>
      </c>
      <c r="H76" s="20"/>
    </row>
    <row r="77" spans="1:10" ht="15" customHeight="1">
      <c r="A77" s="16" t="s">
        <v>1619</v>
      </c>
      <c r="B77" s="17" t="s">
        <v>1704</v>
      </c>
      <c r="C77" s="18">
        <v>659.875</v>
      </c>
      <c r="D77" s="17" t="s">
        <v>1660</v>
      </c>
      <c r="E77" s="18">
        <v>2</v>
      </c>
      <c r="F77" s="17" t="s">
        <v>1658</v>
      </c>
      <c r="G77" s="17">
        <v>1</v>
      </c>
      <c r="H77" s="20">
        <v>41.34</v>
      </c>
    </row>
    <row r="78" spans="1:10" ht="15" customHeight="1">
      <c r="A78" s="16" t="s">
        <v>1619</v>
      </c>
      <c r="B78" s="17" t="s">
        <v>1705</v>
      </c>
      <c r="C78" s="18">
        <v>3053.4144999999999</v>
      </c>
      <c r="D78" s="17" t="s">
        <v>1657</v>
      </c>
      <c r="E78" s="18">
        <v>525</v>
      </c>
      <c r="F78" s="17" t="s">
        <v>1658</v>
      </c>
      <c r="G78" s="17">
        <v>1</v>
      </c>
      <c r="H78" s="20"/>
    </row>
    <row r="79" spans="1:10" ht="15" customHeight="1">
      <c r="A79" s="16" t="s">
        <v>1619</v>
      </c>
      <c r="B79" s="17" t="s">
        <v>1706</v>
      </c>
      <c r="C79" s="18">
        <v>3065.5666000000001</v>
      </c>
      <c r="D79" s="17" t="s">
        <v>1660</v>
      </c>
      <c r="E79" s="18">
        <v>3</v>
      </c>
      <c r="F79" s="17" t="s">
        <v>1658</v>
      </c>
      <c r="G79" s="17">
        <v>1</v>
      </c>
      <c r="H79" s="20">
        <v>39.799999999999997</v>
      </c>
      <c r="J79" s="6">
        <f>+C78*E78</f>
        <v>1603042.6124999998</v>
      </c>
    </row>
    <row r="80" spans="1:10" ht="15" customHeight="1">
      <c r="A80" s="16" t="s">
        <v>1619</v>
      </c>
      <c r="B80" s="17" t="s">
        <v>1707</v>
      </c>
      <c r="C80" s="18">
        <v>2486.7795999999998</v>
      </c>
      <c r="D80" s="17" t="s">
        <v>1620</v>
      </c>
      <c r="E80" s="18">
        <v>1250</v>
      </c>
      <c r="F80" s="17" t="s">
        <v>1658</v>
      </c>
      <c r="G80" s="17">
        <v>2</v>
      </c>
      <c r="H80" s="20"/>
    </row>
    <row r="81" spans="1:8" ht="15" customHeight="1">
      <c r="A81" s="16" t="s">
        <v>1619</v>
      </c>
      <c r="B81" s="17" t="s">
        <v>1624</v>
      </c>
      <c r="C81" s="18">
        <v>2489.98</v>
      </c>
      <c r="D81" s="17" t="s">
        <v>1625</v>
      </c>
      <c r="E81" s="18">
        <v>5</v>
      </c>
      <c r="F81" s="17" t="s">
        <v>1658</v>
      </c>
      <c r="G81" s="17">
        <v>2</v>
      </c>
      <c r="H81" s="20">
        <v>-12.87</v>
      </c>
    </row>
    <row r="82" spans="1:8" ht="15" customHeight="1">
      <c r="A82" s="16" t="s">
        <v>1619</v>
      </c>
      <c r="B82" s="17" t="s">
        <v>1708</v>
      </c>
      <c r="C82" s="18">
        <v>1503.4530999999999</v>
      </c>
      <c r="D82" s="17" t="s">
        <v>1620</v>
      </c>
      <c r="E82" s="18">
        <v>4900</v>
      </c>
      <c r="F82" s="17" t="s">
        <v>1658</v>
      </c>
      <c r="G82" s="17">
        <v>2</v>
      </c>
      <c r="H82" s="20"/>
    </row>
    <row r="83" spans="1:8" ht="15" customHeight="1">
      <c r="A83" s="16" t="s">
        <v>1619</v>
      </c>
      <c r="B83" s="17" t="s">
        <v>1634</v>
      </c>
      <c r="C83" s="18">
        <v>1505.4784999999999</v>
      </c>
      <c r="D83" s="17" t="s">
        <v>1625</v>
      </c>
      <c r="E83" s="18">
        <v>14</v>
      </c>
      <c r="F83" s="17" t="s">
        <v>1658</v>
      </c>
      <c r="G83" s="17">
        <v>2</v>
      </c>
      <c r="H83" s="20">
        <v>-13.47</v>
      </c>
    </row>
    <row r="84" spans="1:8" ht="15" customHeight="1">
      <c r="A84" s="16" t="s">
        <v>1619</v>
      </c>
      <c r="B84" s="17" t="s">
        <v>1709</v>
      </c>
      <c r="C84" s="18">
        <v>523.75080000000003</v>
      </c>
      <c r="D84" s="17" t="s">
        <v>1620</v>
      </c>
      <c r="E84" s="18">
        <v>92825</v>
      </c>
      <c r="F84" s="17" t="s">
        <v>1658</v>
      </c>
      <c r="G84" s="17">
        <v>2</v>
      </c>
      <c r="H84" s="20"/>
    </row>
    <row r="85" spans="1:8" ht="15" customHeight="1">
      <c r="A85" s="16" t="s">
        <v>1619</v>
      </c>
      <c r="B85" s="17" t="s">
        <v>1636</v>
      </c>
      <c r="C85" s="18">
        <v>524.3075</v>
      </c>
      <c r="D85" s="17" t="s">
        <v>1625</v>
      </c>
      <c r="E85" s="18">
        <v>79</v>
      </c>
      <c r="F85" s="17" t="s">
        <v>1658</v>
      </c>
      <c r="G85" s="17">
        <v>2</v>
      </c>
      <c r="H85" s="20">
        <v>-10.63</v>
      </c>
    </row>
    <row r="86" spans="1:8" ht="15" customHeight="1">
      <c r="A86" s="16" t="s">
        <v>1619</v>
      </c>
      <c r="B86" s="17" t="s">
        <v>1710</v>
      </c>
      <c r="C86" s="18">
        <v>3230.5</v>
      </c>
      <c r="D86" s="17" t="s">
        <v>1620</v>
      </c>
      <c r="E86" s="18">
        <v>200</v>
      </c>
      <c r="F86" s="17" t="s">
        <v>1658</v>
      </c>
      <c r="G86" s="17">
        <v>2</v>
      </c>
      <c r="H86" s="20"/>
    </row>
    <row r="87" spans="1:8" ht="15" customHeight="1">
      <c r="A87" s="16" t="s">
        <v>1619</v>
      </c>
      <c r="B87" s="17" t="s">
        <v>1641</v>
      </c>
      <c r="C87" s="18">
        <v>3235.2</v>
      </c>
      <c r="D87" s="17" t="s">
        <v>1625</v>
      </c>
      <c r="E87" s="18">
        <v>1</v>
      </c>
      <c r="F87" s="17" t="s">
        <v>1658</v>
      </c>
      <c r="G87" s="17">
        <v>2</v>
      </c>
      <c r="H87" s="20">
        <v>-14.55</v>
      </c>
    </row>
    <row r="88" spans="1:8" ht="15" customHeight="1">
      <c r="A88" s="16" t="s">
        <v>1619</v>
      </c>
      <c r="B88" s="17" t="s">
        <v>1711</v>
      </c>
      <c r="C88" s="18">
        <v>519.28219999999999</v>
      </c>
      <c r="D88" s="17" t="s">
        <v>1620</v>
      </c>
      <c r="E88" s="18">
        <v>40600</v>
      </c>
      <c r="F88" s="17" t="s">
        <v>1658</v>
      </c>
      <c r="G88" s="17">
        <v>2</v>
      </c>
      <c r="H88" s="20"/>
    </row>
    <row r="89" spans="1:8" ht="15" customHeight="1">
      <c r="A89" s="16" t="s">
        <v>1619</v>
      </c>
      <c r="B89" s="17" t="s">
        <v>1642</v>
      </c>
      <c r="C89" s="18">
        <v>519.88440000000003</v>
      </c>
      <c r="D89" s="17" t="s">
        <v>1625</v>
      </c>
      <c r="E89" s="18">
        <v>58</v>
      </c>
      <c r="F89" s="17" t="s">
        <v>1658</v>
      </c>
      <c r="G89" s="17">
        <v>2</v>
      </c>
      <c r="H89" s="20">
        <v>-11.6</v>
      </c>
    </row>
    <row r="90" spans="1:8" ht="15" customHeight="1">
      <c r="A90" s="16" t="s">
        <v>1619</v>
      </c>
      <c r="B90" s="17" t="s">
        <v>1712</v>
      </c>
      <c r="C90" s="18">
        <v>6648.5</v>
      </c>
      <c r="D90" s="17" t="s">
        <v>1620</v>
      </c>
      <c r="E90" s="18">
        <v>250</v>
      </c>
      <c r="F90" s="17" t="s">
        <v>1658</v>
      </c>
      <c r="G90" s="17">
        <v>2</v>
      </c>
      <c r="H90" s="20"/>
    </row>
    <row r="91" spans="1:8" ht="15" customHeight="1">
      <c r="A91" s="16" t="s">
        <v>1619</v>
      </c>
      <c r="B91" s="17" t="s">
        <v>1648</v>
      </c>
      <c r="C91" s="18">
        <v>6658.25</v>
      </c>
      <c r="D91" s="17" t="s">
        <v>1625</v>
      </c>
      <c r="E91" s="18">
        <v>2</v>
      </c>
      <c r="F91" s="17" t="s">
        <v>1658</v>
      </c>
      <c r="G91" s="17">
        <v>2</v>
      </c>
      <c r="H91" s="20">
        <v>-14.66</v>
      </c>
    </row>
    <row r="92" spans="1:8" ht="15" customHeight="1">
      <c r="A92" s="16" t="s">
        <v>1619</v>
      </c>
      <c r="B92" s="17" t="s">
        <v>1713</v>
      </c>
      <c r="C92" s="18">
        <v>63.009900000000002</v>
      </c>
      <c r="D92" s="17" t="s">
        <v>1620</v>
      </c>
      <c r="E92" s="18">
        <v>8000</v>
      </c>
      <c r="F92" s="17" t="s">
        <v>1658</v>
      </c>
      <c r="G92" s="17">
        <v>2</v>
      </c>
      <c r="H92" s="20"/>
    </row>
    <row r="93" spans="1:8" ht="15" customHeight="1">
      <c r="A93" s="16" t="s">
        <v>1619</v>
      </c>
      <c r="B93" s="17" t="s">
        <v>1650</v>
      </c>
      <c r="C93" s="18">
        <v>63.14</v>
      </c>
      <c r="D93" s="17" t="s">
        <v>1625</v>
      </c>
      <c r="E93" s="18">
        <v>1</v>
      </c>
      <c r="F93" s="17" t="s">
        <v>1658</v>
      </c>
      <c r="G93" s="17">
        <v>2</v>
      </c>
      <c r="H93" s="20">
        <v>-20.65</v>
      </c>
    </row>
    <row r="94" spans="1:8" ht="15" customHeight="1">
      <c r="A94" s="16" t="s">
        <v>1619</v>
      </c>
      <c r="B94" s="17" t="s">
        <v>1714</v>
      </c>
      <c r="C94" s="18">
        <v>12438.78</v>
      </c>
      <c r="D94" s="17" t="s">
        <v>1620</v>
      </c>
      <c r="E94" s="18">
        <v>50</v>
      </c>
      <c r="F94" s="17" t="s">
        <v>1658</v>
      </c>
      <c r="G94" s="17">
        <v>2</v>
      </c>
      <c r="H94" s="20"/>
    </row>
    <row r="95" spans="1:8" ht="15" customHeight="1">
      <c r="A95" s="21" t="s">
        <v>1619</v>
      </c>
      <c r="B95" s="22" t="s">
        <v>1655</v>
      </c>
      <c r="C95" s="23">
        <v>12468</v>
      </c>
      <c r="D95" s="22" t="s">
        <v>1625</v>
      </c>
      <c r="E95" s="23">
        <v>1</v>
      </c>
      <c r="F95" s="22" t="s">
        <v>1658</v>
      </c>
      <c r="G95" s="22">
        <v>2</v>
      </c>
      <c r="H95" s="24">
        <v>-23.49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CEEE-1027-43D0-B0F8-09E117BA90FC}">
  <dimension ref="A2:O14"/>
  <sheetViews>
    <sheetView workbookViewId="0">
      <selection activeCell="G17" sqref="G17"/>
    </sheetView>
  </sheetViews>
  <sheetFormatPr defaultRowHeight="15"/>
  <cols>
    <col min="6" max="6" width="13.5703125" style="75" customWidth="1"/>
    <col min="11" max="11" width="10.140625" bestFit="1" customWidth="1"/>
  </cols>
  <sheetData>
    <row r="2" spans="1:15">
      <c r="A2" s="28"/>
      <c r="B2" s="28" t="s">
        <v>1715</v>
      </c>
      <c r="C2" s="28">
        <v>-15</v>
      </c>
      <c r="D2" s="28"/>
      <c r="E2" s="28"/>
      <c r="F2" s="74"/>
      <c r="G2" s="28"/>
    </row>
    <row r="3" spans="1:15">
      <c r="A3" s="28"/>
      <c r="B3" s="28"/>
      <c r="C3" s="28"/>
      <c r="D3" s="28"/>
      <c r="E3" s="28"/>
      <c r="F3" s="74"/>
      <c r="G3" s="28"/>
    </row>
    <row r="4" spans="1:15">
      <c r="A4" s="28" t="s">
        <v>1716</v>
      </c>
      <c r="B4" s="28"/>
      <c r="C4" s="28" t="s">
        <v>1717</v>
      </c>
      <c r="D4" s="28" t="s">
        <v>1718</v>
      </c>
      <c r="E4" s="28"/>
      <c r="F4" s="74"/>
      <c r="G4" s="28"/>
      <c r="M4" s="28"/>
      <c r="N4" s="28"/>
      <c r="O4" s="28"/>
    </row>
    <row r="5" spans="1:15">
      <c r="A5" s="28">
        <v>2</v>
      </c>
      <c r="B5" s="29">
        <v>1</v>
      </c>
      <c r="C5" s="28">
        <v>-17</v>
      </c>
      <c r="D5" s="30">
        <v>200000</v>
      </c>
      <c r="E5" s="28"/>
      <c r="F5" s="74">
        <f>C5*D5</f>
        <v>-3400000</v>
      </c>
      <c r="G5" s="28"/>
      <c r="M5" s="28"/>
      <c r="N5" s="28"/>
      <c r="O5" s="28"/>
    </row>
    <row r="6" spans="1:15">
      <c r="A6" s="28">
        <v>2</v>
      </c>
      <c r="B6" s="29">
        <v>2</v>
      </c>
      <c r="C6" s="28">
        <v>-15</v>
      </c>
      <c r="D6" s="30">
        <v>200000</v>
      </c>
      <c r="E6" s="28"/>
      <c r="F6" s="74">
        <f>C6*D6</f>
        <v>-3000000</v>
      </c>
      <c r="G6" s="28"/>
      <c r="M6" s="28"/>
      <c r="N6" s="28"/>
      <c r="O6" s="28"/>
    </row>
    <row r="7" spans="1:15">
      <c r="A7" s="28">
        <v>1</v>
      </c>
      <c r="B7" s="29">
        <v>3</v>
      </c>
      <c r="C7" s="28">
        <v>-15</v>
      </c>
      <c r="D7" s="28"/>
      <c r="E7" s="28"/>
      <c r="F7" s="74"/>
      <c r="G7" s="28"/>
      <c r="M7" s="28"/>
      <c r="N7" s="28"/>
      <c r="O7" s="28"/>
    </row>
    <row r="8" spans="1:15">
      <c r="A8" s="28">
        <v>2</v>
      </c>
      <c r="B8" s="29">
        <v>4</v>
      </c>
      <c r="C8" s="28">
        <v>-18</v>
      </c>
      <c r="D8" s="30">
        <v>200000</v>
      </c>
      <c r="E8" s="28"/>
      <c r="F8" s="74">
        <f>C8*D8</f>
        <v>-3600000</v>
      </c>
      <c r="G8" s="28"/>
      <c r="M8" s="28"/>
      <c r="N8" s="28"/>
      <c r="O8" s="28"/>
    </row>
    <row r="9" spans="1:15">
      <c r="A9" s="28">
        <v>2</v>
      </c>
      <c r="B9" s="29">
        <v>5</v>
      </c>
      <c r="C9" s="28">
        <v>-13</v>
      </c>
      <c r="D9" s="30">
        <v>200000</v>
      </c>
      <c r="E9" s="28"/>
      <c r="F9" s="74">
        <f>C9*D9</f>
        <v>-2600000</v>
      </c>
      <c r="G9" s="28"/>
      <c r="M9" s="28"/>
      <c r="N9" s="28"/>
      <c r="O9" s="28"/>
    </row>
    <row r="10" spans="1:15">
      <c r="A10" s="28"/>
      <c r="B10" s="28"/>
      <c r="C10" s="28"/>
      <c r="D10" s="30">
        <f>SUM(D5:D9)</f>
        <v>800000</v>
      </c>
      <c r="E10" s="28"/>
      <c r="F10" s="74">
        <f>SUM(F5:F9)</f>
        <v>-12600000</v>
      </c>
      <c r="G10" s="31" t="s">
        <v>1719</v>
      </c>
      <c r="M10" s="28"/>
      <c r="N10" s="28"/>
      <c r="O10" s="28"/>
    </row>
    <row r="11" spans="1:15">
      <c r="A11" s="28"/>
      <c r="B11" s="28"/>
      <c r="C11" s="28"/>
      <c r="D11" s="28"/>
      <c r="E11" s="28"/>
      <c r="F11" s="74"/>
      <c r="G11" s="28"/>
      <c r="M11" s="28"/>
      <c r="N11" s="28"/>
      <c r="O11" s="28"/>
    </row>
    <row r="12" spans="1:15">
      <c r="A12" s="28"/>
      <c r="B12" s="28"/>
      <c r="C12" s="28"/>
      <c r="D12" s="28"/>
      <c r="E12" s="28"/>
      <c r="F12" s="74"/>
      <c r="G12" s="28"/>
      <c r="M12" s="28"/>
      <c r="N12" s="28"/>
      <c r="O12" s="28"/>
    </row>
    <row r="13" spans="1:15">
      <c r="F13" s="75">
        <f>+F10/D10</f>
        <v>-15.75</v>
      </c>
      <c r="M13" s="28"/>
      <c r="N13" s="28"/>
      <c r="O13" s="28"/>
    </row>
    <row r="14" spans="1:15">
      <c r="M14" s="28"/>
      <c r="N14" s="28"/>
      <c r="O14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886F-1FAD-43C5-9203-F382F10C35E1}">
  <dimension ref="A1:W60"/>
  <sheetViews>
    <sheetView tabSelected="1" topLeftCell="E1" workbookViewId="0">
      <selection activeCell="J14" sqref="J14"/>
    </sheetView>
  </sheetViews>
  <sheetFormatPr defaultRowHeight="15"/>
  <cols>
    <col min="1" max="1" width="15.5703125" customWidth="1"/>
    <col min="2" max="2" width="22.85546875" bestFit="1" customWidth="1"/>
    <col min="3" max="3" width="21.85546875" bestFit="1" customWidth="1"/>
    <col min="4" max="4" width="22.85546875" bestFit="1" customWidth="1"/>
    <col min="5" max="5" width="16.140625" bestFit="1" customWidth="1"/>
    <col min="6" max="6" width="24.140625" bestFit="1" customWidth="1"/>
    <col min="7" max="7" width="16.140625" bestFit="1" customWidth="1"/>
    <col min="8" max="9" width="26.42578125" bestFit="1" customWidth="1"/>
    <col min="10" max="10" width="26.5703125" bestFit="1" customWidth="1"/>
    <col min="11" max="12" width="26.5703125" customWidth="1"/>
    <col min="13" max="13" width="26.42578125" bestFit="1" customWidth="1"/>
    <col min="14" max="16" width="26.85546875" bestFit="1" customWidth="1"/>
    <col min="17" max="17" width="18.140625" bestFit="1" customWidth="1"/>
    <col min="18" max="18" width="15.5703125" bestFit="1" customWidth="1"/>
    <col min="19" max="19" width="12.42578125" bestFit="1" customWidth="1"/>
    <col min="20" max="20" width="13.42578125" bestFit="1" customWidth="1"/>
    <col min="21" max="22" width="11.7109375" bestFit="1" customWidth="1"/>
  </cols>
  <sheetData>
    <row r="1" spans="1:23" ht="15" customHeight="1">
      <c r="A1" s="86" t="s">
        <v>1720</v>
      </c>
      <c r="B1" s="87"/>
    </row>
    <row r="2" spans="1:23" ht="15" customHeight="1">
      <c r="A2" s="91"/>
      <c r="B2" s="92"/>
    </row>
    <row r="3" spans="1:23" s="2" customFormat="1" ht="15" customHeight="1">
      <c r="A3" s="32" t="s">
        <v>1721</v>
      </c>
      <c r="B3" s="33" t="s">
        <v>1606</v>
      </c>
      <c r="C3" s="33" t="s">
        <v>1607</v>
      </c>
      <c r="D3" s="33" t="s">
        <v>1608</v>
      </c>
      <c r="E3" s="33" t="s">
        <v>1609</v>
      </c>
      <c r="F3" s="33" t="s">
        <v>1610</v>
      </c>
      <c r="G3" s="33" t="s">
        <v>1611</v>
      </c>
      <c r="H3" s="33" t="s">
        <v>1612</v>
      </c>
      <c r="I3" s="33" t="s">
        <v>1613</v>
      </c>
      <c r="J3" s="34" t="s">
        <v>1722</v>
      </c>
      <c r="K3"/>
      <c r="L3" s="86" t="s">
        <v>1723</v>
      </c>
      <c r="M3" s="87"/>
      <c r="N3"/>
      <c r="O3"/>
      <c r="P3"/>
      <c r="Q3"/>
      <c r="R3"/>
      <c r="S3"/>
      <c r="T3"/>
      <c r="W3"/>
    </row>
    <row r="4" spans="1:23">
      <c r="A4" s="35">
        <v>1</v>
      </c>
      <c r="B4" s="36" t="s">
        <v>1619</v>
      </c>
      <c r="C4" s="36" t="s">
        <v>121</v>
      </c>
      <c r="D4" s="36">
        <v>2493.2658000000001</v>
      </c>
      <c r="E4" s="36" t="s">
        <v>1620</v>
      </c>
      <c r="F4" s="36">
        <v>1000</v>
      </c>
      <c r="G4" s="36" t="s">
        <v>1621</v>
      </c>
      <c r="H4" s="36">
        <v>2</v>
      </c>
      <c r="I4" s="37"/>
      <c r="J4" s="38">
        <v>45877</v>
      </c>
      <c r="K4" s="75">
        <f>D4*F4</f>
        <v>2493265.8000000003</v>
      </c>
      <c r="L4" s="88"/>
      <c r="M4" s="89"/>
    </row>
    <row r="5" spans="1:23">
      <c r="A5" s="39">
        <v>2</v>
      </c>
      <c r="B5" s="40" t="s">
        <v>1619</v>
      </c>
      <c r="C5" s="40" t="s">
        <v>1624</v>
      </c>
      <c r="D5" s="40">
        <v>2497.15</v>
      </c>
      <c r="E5" s="40" t="s">
        <v>1625</v>
      </c>
      <c r="F5" s="40">
        <v>4</v>
      </c>
      <c r="G5" s="40" t="s">
        <v>1621</v>
      </c>
      <c r="H5" s="40">
        <v>2</v>
      </c>
      <c r="I5" s="37">
        <v>-16</v>
      </c>
      <c r="J5" s="41">
        <v>45878</v>
      </c>
      <c r="K5" s="75">
        <f>D5*F5*250</f>
        <v>2497150</v>
      </c>
      <c r="L5" s="32" t="s">
        <v>1724</v>
      </c>
      <c r="M5" s="34" t="s">
        <v>1725</v>
      </c>
      <c r="N5" s="32" t="s">
        <v>1726</v>
      </c>
      <c r="O5" s="32" t="s">
        <v>1727</v>
      </c>
      <c r="P5" s="32" t="s">
        <v>1728</v>
      </c>
      <c r="Q5" s="32" t="s">
        <v>1729</v>
      </c>
      <c r="R5" s="42" t="s">
        <v>1730</v>
      </c>
      <c r="S5" s="32" t="s">
        <v>1731</v>
      </c>
    </row>
    <row r="6" spans="1:23">
      <c r="A6" s="39">
        <v>3</v>
      </c>
      <c r="B6" s="36" t="s">
        <v>1619</v>
      </c>
      <c r="C6" s="36" t="s">
        <v>230</v>
      </c>
      <c r="D6" s="36">
        <v>1918</v>
      </c>
      <c r="E6" s="36" t="s">
        <v>1620</v>
      </c>
      <c r="F6" s="36">
        <v>500</v>
      </c>
      <c r="G6" s="40" t="s">
        <v>1621</v>
      </c>
      <c r="H6" s="36">
        <v>2</v>
      </c>
      <c r="I6" s="37"/>
      <c r="J6" s="41">
        <v>45877</v>
      </c>
      <c r="K6" s="75">
        <f>D6*F6</f>
        <v>959000</v>
      </c>
      <c r="L6" s="43">
        <v>1001</v>
      </c>
      <c r="M6" s="39" t="s">
        <v>1732</v>
      </c>
      <c r="N6" s="44" t="s">
        <v>1733</v>
      </c>
      <c r="O6" s="35">
        <v>1</v>
      </c>
      <c r="P6" s="35" t="b">
        <v>1</v>
      </c>
      <c r="Q6" s="35">
        <v>4512</v>
      </c>
      <c r="R6" s="43" t="s">
        <v>1734</v>
      </c>
      <c r="S6" s="39">
        <v>1</v>
      </c>
    </row>
    <row r="7" spans="1:23">
      <c r="A7" s="45">
        <v>4</v>
      </c>
      <c r="B7" s="40" t="s">
        <v>1619</v>
      </c>
      <c r="C7" s="40" t="s">
        <v>1628</v>
      </c>
      <c r="D7" s="40">
        <v>1920.2</v>
      </c>
      <c r="E7" s="40" t="s">
        <v>1625</v>
      </c>
      <c r="F7" s="40">
        <v>1</v>
      </c>
      <c r="G7" s="40" t="s">
        <v>1621</v>
      </c>
      <c r="H7" s="40">
        <v>2</v>
      </c>
      <c r="I7" s="37">
        <v>-11</v>
      </c>
      <c r="J7" s="38">
        <v>45878</v>
      </c>
      <c r="K7" s="75">
        <f>D7*F7*500</f>
        <v>960100</v>
      </c>
      <c r="L7" s="43">
        <v>1002</v>
      </c>
      <c r="M7" s="39" t="s">
        <v>1735</v>
      </c>
      <c r="N7" s="44" t="s">
        <v>1736</v>
      </c>
      <c r="O7" s="35">
        <v>2</v>
      </c>
      <c r="P7" s="39" t="b">
        <v>0</v>
      </c>
      <c r="Q7" s="46">
        <v>4522</v>
      </c>
      <c r="R7" s="43" t="s">
        <v>1734</v>
      </c>
      <c r="S7" s="39">
        <v>0</v>
      </c>
    </row>
    <row r="8" spans="1:23" ht="15" customHeight="1">
      <c r="A8" s="39">
        <v>5</v>
      </c>
      <c r="B8" s="47" t="s">
        <v>1619</v>
      </c>
      <c r="C8" s="36" t="s">
        <v>420</v>
      </c>
      <c r="D8" s="36">
        <v>759.80880000000002</v>
      </c>
      <c r="E8" s="36" t="s">
        <v>1620</v>
      </c>
      <c r="F8" s="36">
        <v>2475</v>
      </c>
      <c r="G8" s="39" t="s">
        <v>1658</v>
      </c>
      <c r="H8" s="36">
        <v>2</v>
      </c>
      <c r="I8" s="37"/>
      <c r="J8" s="38">
        <v>45878</v>
      </c>
      <c r="L8" s="43">
        <v>1003</v>
      </c>
      <c r="M8" s="39" t="s">
        <v>1737</v>
      </c>
      <c r="N8" s="44" t="s">
        <v>1738</v>
      </c>
      <c r="O8" s="35">
        <v>3</v>
      </c>
      <c r="P8" s="39" t="b">
        <v>1</v>
      </c>
      <c r="Q8" s="46">
        <v>4532</v>
      </c>
      <c r="R8" s="43" t="s">
        <v>1734</v>
      </c>
      <c r="S8" s="39">
        <v>1</v>
      </c>
    </row>
    <row r="9" spans="1:23" ht="15" customHeight="1">
      <c r="L9" s="43">
        <v>1004</v>
      </c>
      <c r="M9" s="39" t="s">
        <v>1739</v>
      </c>
      <c r="N9" s="44" t="s">
        <v>1740</v>
      </c>
      <c r="O9" s="35">
        <v>4</v>
      </c>
      <c r="P9" s="35" t="b">
        <v>1</v>
      </c>
      <c r="Q9" s="46">
        <v>4542</v>
      </c>
      <c r="R9" s="43" t="s">
        <v>1734</v>
      </c>
      <c r="S9" s="39">
        <v>1</v>
      </c>
    </row>
    <row r="10" spans="1:23" ht="15" customHeight="1">
      <c r="J10" s="81">
        <f>K4/K5-1</f>
        <v>-1.5554532166668356E-3</v>
      </c>
      <c r="K10" s="81">
        <f>K6/K7-1</f>
        <v>-1.1457139881262401E-3</v>
      </c>
      <c r="M10" s="48"/>
      <c r="O10" s="48"/>
      <c r="Q10" s="48"/>
      <c r="R10" s="48"/>
      <c r="S10" s="48"/>
    </row>
    <row r="11" spans="1:23" ht="15" customHeight="1">
      <c r="I11" t="s">
        <v>1741</v>
      </c>
      <c r="J11" s="82">
        <f>J10*K5</f>
        <v>-3884.1999999995883</v>
      </c>
      <c r="K11">
        <f>K10*K7</f>
        <v>-1100.0000000000032</v>
      </c>
    </row>
    <row r="12" spans="1:23" ht="15" customHeight="1">
      <c r="J12" s="82">
        <f>SUM(J11:K11)</f>
        <v>-4984.1999999995915</v>
      </c>
      <c r="K12" s="81">
        <f>J12/(K5+K7)</f>
        <v>-1.4416660640681441E-3</v>
      </c>
    </row>
    <row r="13" spans="1:23" ht="15" customHeight="1"/>
    <row r="14" spans="1:23" ht="18.75" customHeight="1">
      <c r="A14" s="93" t="s">
        <v>1742</v>
      </c>
      <c r="B14" s="93"/>
      <c r="D14" s="49"/>
      <c r="J14" s="83"/>
    </row>
    <row r="15" spans="1:23" ht="18.75" customHeight="1">
      <c r="A15" s="50" t="s">
        <v>1743</v>
      </c>
      <c r="B15" s="50" t="s">
        <v>1744</v>
      </c>
      <c r="C15" s="42" t="s">
        <v>1745</v>
      </c>
      <c r="D15" s="32" t="s">
        <v>1746</v>
      </c>
      <c r="E15" s="32" t="s">
        <v>1609</v>
      </c>
      <c r="F15" s="32" t="s">
        <v>1610</v>
      </c>
      <c r="G15" s="32" t="s">
        <v>1611</v>
      </c>
      <c r="H15" s="32" t="s">
        <v>1722</v>
      </c>
      <c r="K15" s="51" t="s">
        <v>1747</v>
      </c>
    </row>
    <row r="16" spans="1:23">
      <c r="A16" s="35">
        <v>1</v>
      </c>
      <c r="B16" s="35" t="s">
        <v>1748</v>
      </c>
      <c r="C16" s="36" t="s">
        <v>1619</v>
      </c>
      <c r="D16" s="39" t="s">
        <v>1749</v>
      </c>
      <c r="E16" s="39" t="s">
        <v>1657</v>
      </c>
      <c r="F16" s="39">
        <v>5</v>
      </c>
      <c r="G16" s="39" t="s">
        <v>1750</v>
      </c>
      <c r="H16" s="41">
        <v>45877</v>
      </c>
      <c r="K16" s="52" t="s">
        <v>1751</v>
      </c>
      <c r="L16" s="32" t="s">
        <v>1752</v>
      </c>
      <c r="M16" s="53" t="s">
        <v>1753</v>
      </c>
      <c r="N16" s="32" t="s">
        <v>1754</v>
      </c>
      <c r="O16" s="32" t="s">
        <v>1755</v>
      </c>
      <c r="P16" s="32" t="s">
        <v>1756</v>
      </c>
      <c r="Q16" s="32" t="s">
        <v>1757</v>
      </c>
      <c r="R16" s="32" t="s">
        <v>1758</v>
      </c>
    </row>
    <row r="17" spans="1:20">
      <c r="A17" s="39">
        <v>2</v>
      </c>
      <c r="B17" s="39" t="s">
        <v>1759</v>
      </c>
      <c r="C17" s="40" t="s">
        <v>1619</v>
      </c>
      <c r="D17" s="39" t="s">
        <v>1760</v>
      </c>
      <c r="E17" s="39" t="s">
        <v>1620</v>
      </c>
      <c r="F17" s="39">
        <v>500</v>
      </c>
      <c r="G17" s="39" t="s">
        <v>1761</v>
      </c>
      <c r="H17" s="41">
        <v>45878</v>
      </c>
      <c r="K17" s="54">
        <v>1</v>
      </c>
      <c r="L17" s="55" t="s">
        <v>1762</v>
      </c>
      <c r="M17" s="54" t="s">
        <v>1763</v>
      </c>
      <c r="N17" s="54">
        <v>3712</v>
      </c>
      <c r="O17" s="56">
        <v>45638</v>
      </c>
      <c r="P17" s="54"/>
      <c r="Q17" s="54"/>
      <c r="R17" s="54" t="b">
        <v>1</v>
      </c>
    </row>
    <row r="18" spans="1:20">
      <c r="A18" s="39">
        <v>3</v>
      </c>
      <c r="B18" s="39" t="s">
        <v>1764</v>
      </c>
      <c r="C18" s="36" t="s">
        <v>1619</v>
      </c>
      <c r="D18" s="39" t="s">
        <v>1765</v>
      </c>
      <c r="E18" s="39" t="s">
        <v>1657</v>
      </c>
      <c r="F18" s="39">
        <v>2</v>
      </c>
      <c r="G18" s="39" t="s">
        <v>1658</v>
      </c>
      <c r="H18" s="41">
        <v>45877</v>
      </c>
      <c r="K18" s="54">
        <v>2</v>
      </c>
      <c r="L18" s="57" t="s">
        <v>1766</v>
      </c>
      <c r="M18" s="54" t="s">
        <v>1767</v>
      </c>
      <c r="N18" s="54">
        <v>3710</v>
      </c>
      <c r="O18" s="56">
        <v>45632</v>
      </c>
      <c r="P18" s="54"/>
      <c r="Q18" s="54"/>
      <c r="R18" s="54" t="b">
        <v>0</v>
      </c>
    </row>
    <row r="19" spans="1:20">
      <c r="A19" s="45">
        <v>4</v>
      </c>
      <c r="B19" s="45" t="s">
        <v>1768</v>
      </c>
      <c r="C19" s="40" t="s">
        <v>1619</v>
      </c>
      <c r="D19" s="39" t="s">
        <v>1769</v>
      </c>
      <c r="E19" s="39" t="s">
        <v>1657</v>
      </c>
      <c r="F19" s="39">
        <v>450</v>
      </c>
      <c r="G19" s="39" t="s">
        <v>1750</v>
      </c>
      <c r="H19" s="41">
        <v>45878</v>
      </c>
      <c r="K19" s="54">
        <v>3</v>
      </c>
      <c r="L19" s="54" t="s">
        <v>1770</v>
      </c>
      <c r="M19" s="54" t="s">
        <v>1771</v>
      </c>
      <c r="N19" s="54">
        <v>3710</v>
      </c>
      <c r="O19" s="56">
        <v>45638</v>
      </c>
      <c r="P19" s="54"/>
      <c r="Q19" s="54"/>
      <c r="R19" s="54" t="b">
        <v>1</v>
      </c>
    </row>
    <row r="20" spans="1:20">
      <c r="A20" s="48"/>
      <c r="B20" s="48"/>
      <c r="C20" s="48"/>
    </row>
    <row r="23" spans="1:20" ht="15" customHeight="1">
      <c r="A23" s="86" t="s">
        <v>1772</v>
      </c>
      <c r="B23" s="87"/>
    </row>
    <row r="24" spans="1:20" ht="18.75" customHeight="1">
      <c r="A24" s="88"/>
      <c r="B24" s="89"/>
      <c r="K24" s="51" t="s">
        <v>1773</v>
      </c>
    </row>
    <row r="25" spans="1:20" s="59" customFormat="1" ht="15" customHeight="1">
      <c r="A25" s="32" t="s">
        <v>1774</v>
      </c>
      <c r="B25" s="32" t="s">
        <v>1721</v>
      </c>
      <c r="C25" s="32" t="s">
        <v>1743</v>
      </c>
      <c r="D25" s="32" t="s">
        <v>1775</v>
      </c>
      <c r="E25" s="32" t="s">
        <v>1776</v>
      </c>
      <c r="F25" s="32" t="s">
        <v>1777</v>
      </c>
      <c r="G25" s="32" t="s">
        <v>1778</v>
      </c>
      <c r="H25" s="53" t="s">
        <v>1779</v>
      </c>
      <c r="I25" s="58"/>
      <c r="J25"/>
      <c r="K25" s="50" t="s">
        <v>1780</v>
      </c>
      <c r="L25" s="32" t="s">
        <v>1781</v>
      </c>
      <c r="M25" s="32" t="s">
        <v>1782</v>
      </c>
      <c r="N25" s="32" t="s">
        <v>1783</v>
      </c>
      <c r="O25" s="32" t="s">
        <v>1784</v>
      </c>
      <c r="P25" s="32" t="s">
        <v>1785</v>
      </c>
      <c r="Q25" s="32" t="s">
        <v>1786</v>
      </c>
      <c r="R25" s="32" t="s">
        <v>1787</v>
      </c>
      <c r="T25"/>
    </row>
    <row r="26" spans="1:20" ht="15" customHeight="1">
      <c r="A26" s="54">
        <v>1</v>
      </c>
      <c r="B26" s="54">
        <v>1</v>
      </c>
      <c r="C26" s="54">
        <v>1</v>
      </c>
      <c r="D26" s="54" t="s">
        <v>1749</v>
      </c>
      <c r="E26" s="54" t="s">
        <v>1788</v>
      </c>
      <c r="F26" s="54">
        <v>150</v>
      </c>
      <c r="G26" s="54">
        <v>1</v>
      </c>
      <c r="H26" s="41">
        <v>45877</v>
      </c>
      <c r="I26" s="55"/>
      <c r="K26" s="54">
        <v>1</v>
      </c>
      <c r="L26" s="54" t="s">
        <v>1789</v>
      </c>
      <c r="M26" s="54" t="s">
        <v>1790</v>
      </c>
      <c r="N26" s="54" t="b">
        <v>1</v>
      </c>
      <c r="O26" s="54"/>
      <c r="P26" s="54"/>
      <c r="Q26" s="54"/>
      <c r="R26" s="54"/>
    </row>
    <row r="27" spans="1:20">
      <c r="A27" s="54">
        <v>2</v>
      </c>
      <c r="B27" s="54">
        <v>2</v>
      </c>
      <c r="C27" s="54">
        <v>2</v>
      </c>
      <c r="D27" s="54" t="s">
        <v>1705</v>
      </c>
      <c r="E27" s="54" t="s">
        <v>1791</v>
      </c>
      <c r="F27" s="54">
        <v>1</v>
      </c>
      <c r="G27" s="54">
        <v>1</v>
      </c>
      <c r="H27" s="41">
        <v>45878</v>
      </c>
      <c r="I27" s="54"/>
      <c r="K27" s="54">
        <v>2</v>
      </c>
      <c r="L27" s="54" t="s">
        <v>1792</v>
      </c>
      <c r="M27" s="54" t="s">
        <v>1793</v>
      </c>
      <c r="N27" s="54" t="b">
        <v>1</v>
      </c>
      <c r="O27" s="54"/>
      <c r="P27" s="54"/>
      <c r="Q27" s="54"/>
      <c r="R27" s="54"/>
    </row>
    <row r="28" spans="1:20">
      <c r="A28" s="54">
        <v>3</v>
      </c>
      <c r="B28" s="54">
        <v>3</v>
      </c>
      <c r="C28" s="54">
        <v>3</v>
      </c>
      <c r="D28" s="54" t="s">
        <v>1794</v>
      </c>
      <c r="E28" s="54" t="s">
        <v>1788</v>
      </c>
      <c r="F28" s="54">
        <v>250</v>
      </c>
      <c r="G28" s="59">
        <v>1</v>
      </c>
      <c r="H28" s="41">
        <v>45877</v>
      </c>
      <c r="I28" s="54"/>
      <c r="K28" s="54">
        <v>3</v>
      </c>
      <c r="L28" s="54" t="s">
        <v>1795</v>
      </c>
      <c r="M28" s="54" t="s">
        <v>1796</v>
      </c>
      <c r="N28" s="54" t="b">
        <v>1</v>
      </c>
      <c r="O28" s="54"/>
      <c r="P28" s="54"/>
      <c r="Q28" s="54"/>
      <c r="R28" s="54"/>
      <c r="T28" s="59"/>
    </row>
    <row r="29" spans="1:20">
      <c r="A29" s="54">
        <v>4</v>
      </c>
      <c r="B29" s="54">
        <v>4</v>
      </c>
      <c r="C29" s="54">
        <v>4</v>
      </c>
      <c r="D29" s="54" t="s">
        <v>1797</v>
      </c>
      <c r="E29" s="54" t="s">
        <v>1791</v>
      </c>
      <c r="F29" s="54">
        <v>1</v>
      </c>
      <c r="G29" s="54">
        <v>1</v>
      </c>
      <c r="H29" s="41">
        <v>45878</v>
      </c>
      <c r="I29" s="54"/>
      <c r="K29" s="54">
        <v>4</v>
      </c>
      <c r="L29" s="54" t="s">
        <v>1798</v>
      </c>
      <c r="M29" s="54" t="s">
        <v>1799</v>
      </c>
      <c r="N29" s="54" t="b">
        <v>1</v>
      </c>
      <c r="O29" s="54"/>
      <c r="P29" s="54"/>
      <c r="Q29" s="54"/>
      <c r="R29" s="54"/>
    </row>
    <row r="32" spans="1:20" ht="15" customHeight="1"/>
    <row r="33" spans="1:17" ht="15" customHeight="1">
      <c r="A33" s="86" t="s">
        <v>1800</v>
      </c>
      <c r="B33" s="87"/>
      <c r="K33" s="94" t="s">
        <v>1801</v>
      </c>
      <c r="L33" s="95"/>
    </row>
    <row r="34" spans="1:17" ht="15" customHeight="1">
      <c r="A34" s="88"/>
      <c r="B34" s="89"/>
      <c r="K34" s="96"/>
      <c r="L34" s="97"/>
    </row>
    <row r="35" spans="1:17">
      <c r="A35" s="32" t="s">
        <v>1802</v>
      </c>
      <c r="B35" s="32" t="s">
        <v>1803</v>
      </c>
      <c r="C35" s="32" t="s">
        <v>1774</v>
      </c>
      <c r="D35" s="32" t="s">
        <v>1610</v>
      </c>
      <c r="E35" s="32" t="s">
        <v>1608</v>
      </c>
      <c r="F35" s="32" t="s">
        <v>1804</v>
      </c>
      <c r="G35" s="32" t="s">
        <v>1805</v>
      </c>
      <c r="H35" s="32" t="s">
        <v>1806</v>
      </c>
      <c r="I35" s="32" t="s">
        <v>1807</v>
      </c>
      <c r="K35" s="32" t="s">
        <v>1780</v>
      </c>
      <c r="L35" s="32" t="s">
        <v>1808</v>
      </c>
      <c r="M35" s="32" t="s">
        <v>1809</v>
      </c>
      <c r="N35" s="32" t="s">
        <v>1784</v>
      </c>
      <c r="O35" s="32" t="s">
        <v>1785</v>
      </c>
      <c r="P35" s="42" t="s">
        <v>1810</v>
      </c>
      <c r="Q35" s="32" t="s">
        <v>1787</v>
      </c>
    </row>
    <row r="36" spans="1:17">
      <c r="A36" s="54">
        <v>101</v>
      </c>
      <c r="B36" s="41">
        <v>45877</v>
      </c>
      <c r="C36" s="54">
        <v>2</v>
      </c>
      <c r="D36" s="54">
        <v>1500</v>
      </c>
      <c r="E36" s="54">
        <v>3200</v>
      </c>
      <c r="F36" s="54" t="s">
        <v>1657</v>
      </c>
      <c r="G36" s="54">
        <v>1</v>
      </c>
      <c r="H36" s="54">
        <v>1500</v>
      </c>
      <c r="I36" s="54" t="s">
        <v>1811</v>
      </c>
      <c r="K36" s="54">
        <v>196</v>
      </c>
      <c r="L36" s="54">
        <v>1</v>
      </c>
      <c r="M36" s="54">
        <v>1</v>
      </c>
      <c r="N36" s="54"/>
      <c r="O36" s="60">
        <v>45812.654750462963</v>
      </c>
      <c r="P36" s="54"/>
      <c r="Q36" s="55"/>
    </row>
    <row r="37" spans="1:17" ht="15" customHeight="1">
      <c r="A37" s="54">
        <v>102</v>
      </c>
      <c r="B37" s="41">
        <v>45908</v>
      </c>
      <c r="C37" s="54">
        <v>4</v>
      </c>
      <c r="D37" s="54">
        <v>250</v>
      </c>
      <c r="E37" s="54">
        <v>2800.5</v>
      </c>
      <c r="F37" s="54" t="s">
        <v>1620</v>
      </c>
      <c r="G37" s="54">
        <v>2</v>
      </c>
      <c r="H37" s="54">
        <v>250</v>
      </c>
      <c r="I37" s="54" t="s">
        <v>1812</v>
      </c>
      <c r="K37" s="54">
        <v>197</v>
      </c>
      <c r="L37" s="54">
        <v>1</v>
      </c>
      <c r="M37" s="54">
        <v>2</v>
      </c>
      <c r="N37" s="54"/>
      <c r="O37" s="60">
        <v>45812.654750636575</v>
      </c>
      <c r="P37" s="54"/>
      <c r="Q37" s="54"/>
    </row>
    <row r="38" spans="1:17" ht="15" customHeight="1">
      <c r="K38" s="54">
        <v>198</v>
      </c>
      <c r="L38" s="54">
        <v>1</v>
      </c>
      <c r="M38" s="54">
        <v>3</v>
      </c>
      <c r="N38" s="54"/>
      <c r="O38" s="60">
        <v>45812.654750821763</v>
      </c>
      <c r="P38" s="54"/>
      <c r="Q38" s="54"/>
    </row>
    <row r="39" spans="1:17">
      <c r="K39" s="54">
        <v>199</v>
      </c>
      <c r="L39" s="54">
        <v>1</v>
      </c>
      <c r="M39" s="54">
        <v>4</v>
      </c>
      <c r="N39" s="54"/>
      <c r="O39" s="60">
        <v>45812.654750821763</v>
      </c>
      <c r="P39" s="54"/>
      <c r="Q39" s="54"/>
    </row>
    <row r="40" spans="1:17">
      <c r="A40" s="86" t="s">
        <v>1813</v>
      </c>
      <c r="B40" s="87"/>
      <c r="D40" s="61"/>
    </row>
    <row r="41" spans="1:17" ht="15" customHeight="1">
      <c r="A41" s="88"/>
      <c r="B41" s="89"/>
    </row>
    <row r="42" spans="1:17">
      <c r="A42" s="32" t="s">
        <v>1814</v>
      </c>
      <c r="B42" s="32" t="s">
        <v>1803</v>
      </c>
      <c r="C42" s="32" t="s">
        <v>1774</v>
      </c>
      <c r="D42" s="32" t="s">
        <v>1610</v>
      </c>
      <c r="E42" s="32" t="s">
        <v>1608</v>
      </c>
      <c r="F42" s="32" t="s">
        <v>1804</v>
      </c>
      <c r="G42" s="32" t="s">
        <v>1815</v>
      </c>
      <c r="H42" s="32" t="s">
        <v>1806</v>
      </c>
      <c r="I42" s="32" t="s">
        <v>1805</v>
      </c>
      <c r="J42" s="32" t="s">
        <v>1807</v>
      </c>
    </row>
    <row r="43" spans="1:17">
      <c r="A43" s="54">
        <v>201</v>
      </c>
      <c r="B43" s="41">
        <v>45877</v>
      </c>
      <c r="C43" s="54">
        <v>1</v>
      </c>
      <c r="D43" s="54">
        <v>10</v>
      </c>
      <c r="E43" s="54">
        <v>2000</v>
      </c>
      <c r="F43" s="54" t="s">
        <v>1625</v>
      </c>
      <c r="G43" s="54">
        <v>150</v>
      </c>
      <c r="H43" s="54">
        <v>1500</v>
      </c>
      <c r="I43" s="54">
        <v>1</v>
      </c>
      <c r="J43" s="54" t="s">
        <v>1816</v>
      </c>
      <c r="K43" s="59"/>
    </row>
    <row r="44" spans="1:17">
      <c r="A44" s="54">
        <v>202</v>
      </c>
      <c r="B44" s="41">
        <v>45908</v>
      </c>
      <c r="C44" s="54">
        <v>3</v>
      </c>
      <c r="D44" s="54">
        <v>3</v>
      </c>
      <c r="E44" s="54">
        <v>2500</v>
      </c>
      <c r="F44" s="54" t="s">
        <v>1660</v>
      </c>
      <c r="G44" s="54">
        <v>250</v>
      </c>
      <c r="H44" s="54">
        <v>750</v>
      </c>
      <c r="I44" s="54">
        <v>2</v>
      </c>
      <c r="J44" s="54" t="s">
        <v>1812</v>
      </c>
      <c r="K44" s="59"/>
    </row>
    <row r="46" spans="1:17" ht="15" customHeight="1"/>
    <row r="47" spans="1:17" ht="18.75" customHeight="1">
      <c r="A47" s="90" t="s">
        <v>1817</v>
      </c>
      <c r="B47" s="90"/>
    </row>
    <row r="48" spans="1:17" ht="15" customHeight="1">
      <c r="A48" s="32" t="s">
        <v>1818</v>
      </c>
      <c r="B48" s="32" t="s">
        <v>1819</v>
      </c>
      <c r="C48" s="32" t="s">
        <v>1820</v>
      </c>
      <c r="D48" s="32" t="s">
        <v>1821</v>
      </c>
      <c r="E48" s="32" t="s">
        <v>1822</v>
      </c>
      <c r="F48" s="32" t="s">
        <v>1823</v>
      </c>
      <c r="G48" s="32" t="s">
        <v>1824</v>
      </c>
      <c r="H48" s="58" t="s">
        <v>1825</v>
      </c>
    </row>
    <row r="49" spans="1:8">
      <c r="A49" s="54">
        <v>1</v>
      </c>
      <c r="B49" s="54">
        <v>101</v>
      </c>
      <c r="C49" s="54">
        <v>201</v>
      </c>
      <c r="D49" s="54" t="s">
        <v>1826</v>
      </c>
      <c r="E49" s="54" t="s">
        <v>1811</v>
      </c>
      <c r="F49" s="54" t="s">
        <v>1827</v>
      </c>
      <c r="G49" s="41">
        <v>45877</v>
      </c>
      <c r="H49" s="55" t="s">
        <v>1828</v>
      </c>
    </row>
    <row r="50" spans="1:8">
      <c r="A50" s="54">
        <v>2</v>
      </c>
      <c r="B50" s="54">
        <v>102</v>
      </c>
      <c r="C50" s="54">
        <v>202</v>
      </c>
      <c r="D50" s="54" t="s">
        <v>1627</v>
      </c>
      <c r="E50" s="54" t="s">
        <v>1812</v>
      </c>
      <c r="F50" s="54" t="s">
        <v>1827</v>
      </c>
      <c r="G50" s="41">
        <v>45908</v>
      </c>
      <c r="H50" s="54" t="s">
        <v>1828</v>
      </c>
    </row>
    <row r="51" spans="1:8">
      <c r="A51" s="54">
        <v>3</v>
      </c>
      <c r="B51" s="54">
        <v>103</v>
      </c>
      <c r="C51" s="54" t="s">
        <v>1829</v>
      </c>
      <c r="D51" s="54" t="s">
        <v>1826</v>
      </c>
      <c r="E51" s="54" t="s">
        <v>1829</v>
      </c>
      <c r="F51" s="54" t="s">
        <v>1830</v>
      </c>
      <c r="G51" s="41">
        <v>45908</v>
      </c>
      <c r="H51" s="54" t="s">
        <v>1831</v>
      </c>
    </row>
    <row r="52" spans="1:8">
      <c r="A52" s="54">
        <v>4</v>
      </c>
      <c r="B52" s="54" t="s">
        <v>1829</v>
      </c>
      <c r="C52" s="54">
        <v>204</v>
      </c>
      <c r="D52" s="54" t="s">
        <v>1832</v>
      </c>
      <c r="E52" s="54" t="s">
        <v>1829</v>
      </c>
      <c r="F52" s="54" t="s">
        <v>1830</v>
      </c>
      <c r="G52" s="41">
        <v>45908</v>
      </c>
      <c r="H52" s="54" t="s">
        <v>1828</v>
      </c>
    </row>
    <row r="55" spans="1:8" ht="18.75" customHeight="1">
      <c r="A55" s="90" t="s">
        <v>1833</v>
      </c>
      <c r="B55" s="90"/>
    </row>
    <row r="56" spans="1:8">
      <c r="A56" s="32" t="s">
        <v>1834</v>
      </c>
      <c r="B56" s="32" t="s">
        <v>1746</v>
      </c>
      <c r="C56" s="32" t="s">
        <v>1835</v>
      </c>
      <c r="D56" s="32" t="s">
        <v>1836</v>
      </c>
      <c r="E56" s="32" t="s">
        <v>1837</v>
      </c>
      <c r="F56" s="32" t="s">
        <v>1728</v>
      </c>
    </row>
    <row r="57" spans="1:8">
      <c r="A57" s="54"/>
      <c r="B57" s="54"/>
      <c r="C57" s="54"/>
      <c r="D57" s="54"/>
      <c r="E57" s="54"/>
      <c r="F57" s="54"/>
    </row>
    <row r="58" spans="1:8">
      <c r="A58" s="54"/>
      <c r="B58" s="54"/>
      <c r="C58" s="54"/>
      <c r="D58" s="54"/>
      <c r="E58" s="54"/>
      <c r="F58" s="54"/>
    </row>
    <row r="59" spans="1:8">
      <c r="A59" s="54"/>
      <c r="B59" s="54"/>
      <c r="C59" s="54"/>
      <c r="D59" s="54"/>
      <c r="E59" s="54"/>
      <c r="F59" s="54"/>
    </row>
    <row r="60" spans="1:8">
      <c r="A60" s="54"/>
      <c r="B60" s="54"/>
      <c r="C60" s="54"/>
      <c r="D60" s="54"/>
      <c r="E60" s="54"/>
      <c r="F60" s="54"/>
    </row>
  </sheetData>
  <mergeCells count="9">
    <mergeCell ref="A40:B41"/>
    <mergeCell ref="A47:B47"/>
    <mergeCell ref="A55:B55"/>
    <mergeCell ref="A1:B2"/>
    <mergeCell ref="L3:M4"/>
    <mergeCell ref="A14:B14"/>
    <mergeCell ref="A23:B24"/>
    <mergeCell ref="A33:B34"/>
    <mergeCell ref="K33:L34"/>
  </mergeCells>
  <hyperlinks>
    <hyperlink ref="N6" r:id="rId1" xr:uid="{7A133269-7A6F-4A34-AE43-97F1BFA9ACEF}"/>
    <hyperlink ref="N7" r:id="rId2" xr:uid="{06363117-D54C-48E6-9B65-7EB1AF46DD32}"/>
    <hyperlink ref="N9" r:id="rId3" xr:uid="{1B576947-ACA2-4519-A7B1-EE6B614F51F4}"/>
    <hyperlink ref="N8" r:id="rId4" xr:uid="{641EA7A2-F5DB-43D6-8B53-AAC7FB573AF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891F-C491-4314-8D72-B3E9AE856195}">
  <dimension ref="A1:N135"/>
  <sheetViews>
    <sheetView topLeftCell="C1" workbookViewId="0">
      <selection activeCell="K13" sqref="K13"/>
    </sheetView>
  </sheetViews>
  <sheetFormatPr defaultRowHeight="15"/>
  <cols>
    <col min="1" max="1" width="16.5703125" bestFit="1" customWidth="1"/>
    <col min="2" max="2" width="19.7109375" bestFit="1" customWidth="1"/>
    <col min="3" max="3" width="10.140625" bestFit="1" customWidth="1"/>
    <col min="4" max="4" width="14.5703125" customWidth="1"/>
    <col min="5" max="5" width="19.7109375" bestFit="1" customWidth="1"/>
    <col min="6" max="6" width="11.42578125" bestFit="1" customWidth="1"/>
    <col min="7" max="8" width="11.85546875" bestFit="1" customWidth="1"/>
    <col min="9" max="9" width="15.7109375" customWidth="1"/>
    <col min="11" max="11" width="75" bestFit="1" customWidth="1"/>
    <col min="13" max="13" width="51.42578125" bestFit="1" customWidth="1"/>
    <col min="14" max="14" width="11.85546875" bestFit="1" customWidth="1"/>
    <col min="15" max="15" width="12.85546875" bestFit="1" customWidth="1"/>
    <col min="16" max="16" width="8.28515625" bestFit="1" customWidth="1"/>
  </cols>
  <sheetData>
    <row r="1" spans="1:14" ht="15.75">
      <c r="A1" s="62" t="s">
        <v>1838</v>
      </c>
    </row>
    <row r="2" spans="1:14">
      <c r="A2" s="32" t="s">
        <v>1839</v>
      </c>
      <c r="B2" s="32" t="s">
        <v>1840</v>
      </c>
      <c r="C2" s="32" t="s">
        <v>1841</v>
      </c>
      <c r="D2" s="32" t="s">
        <v>1842</v>
      </c>
      <c r="K2" s="1" t="s">
        <v>1843</v>
      </c>
    </row>
    <row r="3" spans="1:14">
      <c r="A3" s="54" t="s">
        <v>1844</v>
      </c>
      <c r="B3" s="63" t="s">
        <v>121</v>
      </c>
      <c r="C3" s="64">
        <v>250.01</v>
      </c>
      <c r="D3" s="65">
        <v>1</v>
      </c>
      <c r="K3" t="s">
        <v>1845</v>
      </c>
      <c r="M3" s="66" t="s">
        <v>1846</v>
      </c>
    </row>
    <row r="4" spans="1:14">
      <c r="A4" s="54" t="s">
        <v>1847</v>
      </c>
      <c r="B4" s="54" t="s">
        <v>1624</v>
      </c>
      <c r="C4" s="46">
        <v>250.01</v>
      </c>
      <c r="D4" s="39">
        <v>500</v>
      </c>
      <c r="K4" t="s">
        <v>1848</v>
      </c>
      <c r="M4" t="s">
        <v>1849</v>
      </c>
    </row>
    <row r="5" spans="1:14">
      <c r="A5" s="54" t="s">
        <v>1838</v>
      </c>
      <c r="B5" s="54" t="s">
        <v>1838</v>
      </c>
      <c r="C5" s="54" t="s">
        <v>1838</v>
      </c>
      <c r="D5" s="55" t="s">
        <v>1838</v>
      </c>
      <c r="E5" t="s">
        <v>1838</v>
      </c>
      <c r="F5" t="s">
        <v>1838</v>
      </c>
      <c r="K5" t="s">
        <v>1850</v>
      </c>
      <c r="M5" t="s">
        <v>1851</v>
      </c>
    </row>
    <row r="6" spans="1:14">
      <c r="K6" s="67" t="s">
        <v>1852</v>
      </c>
      <c r="M6" t="s">
        <v>1853</v>
      </c>
    </row>
    <row r="7" spans="1:14">
      <c r="K7" t="s">
        <v>1854</v>
      </c>
      <c r="M7" t="s">
        <v>1855</v>
      </c>
    </row>
    <row r="8" spans="1:14">
      <c r="K8" t="s">
        <v>1856</v>
      </c>
      <c r="M8" t="s">
        <v>1857</v>
      </c>
    </row>
    <row r="9" spans="1:14">
      <c r="K9" t="s">
        <v>1858</v>
      </c>
      <c r="M9" t="s">
        <v>1859</v>
      </c>
    </row>
    <row r="10" spans="1:14" ht="15.75">
      <c r="A10" s="62" t="s">
        <v>1860</v>
      </c>
      <c r="K10" t="s">
        <v>1861</v>
      </c>
    </row>
    <row r="11" spans="1:14" s="59" customFormat="1">
      <c r="A11" s="68" t="s">
        <v>1606</v>
      </c>
      <c r="B11" s="68" t="s">
        <v>1607</v>
      </c>
      <c r="C11" s="69" t="s">
        <v>1608</v>
      </c>
      <c r="D11" s="68" t="s">
        <v>1609</v>
      </c>
      <c r="E11" s="68" t="s">
        <v>1610</v>
      </c>
      <c r="F11" s="68" t="s">
        <v>1611</v>
      </c>
      <c r="G11" s="68" t="s">
        <v>1612</v>
      </c>
      <c r="H11" s="68" t="s">
        <v>1613</v>
      </c>
      <c r="N11"/>
    </row>
    <row r="12" spans="1:14">
      <c r="A12" s="63" t="s">
        <v>1619</v>
      </c>
      <c r="B12" s="63" t="s">
        <v>121</v>
      </c>
      <c r="C12" s="63">
        <v>2493.2658000000001</v>
      </c>
      <c r="D12" s="63" t="s">
        <v>1620</v>
      </c>
      <c r="E12" s="63">
        <v>1000</v>
      </c>
      <c r="F12" s="63" t="s">
        <v>1621</v>
      </c>
      <c r="G12" s="63">
        <v>0</v>
      </c>
      <c r="H12" s="63"/>
    </row>
    <row r="13" spans="1:14">
      <c r="A13" s="64" t="s">
        <v>1619</v>
      </c>
      <c r="B13" s="64" t="s">
        <v>1624</v>
      </c>
      <c r="C13" s="64">
        <v>2497.15</v>
      </c>
      <c r="D13" s="64" t="s">
        <v>1625</v>
      </c>
      <c r="E13" s="64">
        <v>4</v>
      </c>
      <c r="F13" s="64" t="s">
        <v>1621</v>
      </c>
      <c r="G13" s="64">
        <v>0</v>
      </c>
      <c r="H13" s="63" t="s">
        <v>1635</v>
      </c>
    </row>
    <row r="16" spans="1:14">
      <c r="K16" s="1" t="s">
        <v>1862</v>
      </c>
    </row>
    <row r="17" spans="1:11" ht="15.75">
      <c r="A17" s="62" t="s">
        <v>1863</v>
      </c>
    </row>
    <row r="18" spans="1:11">
      <c r="A18" s="68" t="s">
        <v>1606</v>
      </c>
      <c r="B18" s="68" t="s">
        <v>1607</v>
      </c>
      <c r="C18" s="69" t="s">
        <v>1611</v>
      </c>
      <c r="D18" s="68" t="s">
        <v>1864</v>
      </c>
      <c r="K18" t="s">
        <v>1848</v>
      </c>
    </row>
    <row r="19" spans="1:11">
      <c r="A19" s="63" t="s">
        <v>1619</v>
      </c>
      <c r="B19" s="63" t="s">
        <v>121</v>
      </c>
      <c r="C19" s="63" t="s">
        <v>1621</v>
      </c>
      <c r="D19" s="63">
        <v>1000</v>
      </c>
      <c r="K19" t="s">
        <v>1865</v>
      </c>
    </row>
    <row r="20" spans="1:11">
      <c r="A20" s="64" t="s">
        <v>1619</v>
      </c>
      <c r="B20" s="64" t="s">
        <v>1624</v>
      </c>
      <c r="C20" s="63" t="s">
        <v>1621</v>
      </c>
      <c r="D20" s="64">
        <v>4</v>
      </c>
      <c r="K20" t="s">
        <v>1865</v>
      </c>
    </row>
    <row r="21" spans="1:11">
      <c r="K21" t="s">
        <v>1866</v>
      </c>
    </row>
    <row r="22" spans="1:11">
      <c r="K22" t="s">
        <v>1867</v>
      </c>
    </row>
    <row r="23" spans="1:11">
      <c r="K23" t="s">
        <v>1868</v>
      </c>
    </row>
    <row r="24" spans="1:11">
      <c r="K24" s="70" t="s">
        <v>1869</v>
      </c>
    </row>
    <row r="25" spans="1:11">
      <c r="F25">
        <v>2497150</v>
      </c>
      <c r="K25" s="70" t="s">
        <v>1870</v>
      </c>
    </row>
    <row r="26" spans="1:11">
      <c r="A26" s="72" t="s">
        <v>1871</v>
      </c>
      <c r="F26">
        <v>960100</v>
      </c>
      <c r="K26" t="s">
        <v>1872</v>
      </c>
    </row>
    <row r="27" spans="1:11">
      <c r="A27" s="72" t="s">
        <v>1873</v>
      </c>
      <c r="F27">
        <v>1883103.75</v>
      </c>
      <c r="K27" t="s">
        <v>1874</v>
      </c>
    </row>
    <row r="28" spans="1:11">
      <c r="A28" s="72" t="s">
        <v>1875</v>
      </c>
      <c r="F28">
        <v>741565</v>
      </c>
    </row>
    <row r="29" spans="1:11">
      <c r="A29" s="72" t="s">
        <v>1876</v>
      </c>
      <c r="F29">
        <v>774225</v>
      </c>
    </row>
    <row r="30" spans="1:11">
      <c r="A30" s="72" t="s">
        <v>1845</v>
      </c>
      <c r="F30">
        <f>SUM(F25:F29)</f>
        <v>6856143.75</v>
      </c>
    </row>
    <row r="31" spans="1:11">
      <c r="A31" s="72" t="s">
        <v>1877</v>
      </c>
    </row>
    <row r="32" spans="1:11">
      <c r="A32" s="72" t="s">
        <v>1878</v>
      </c>
    </row>
    <row r="33" spans="1:7">
      <c r="A33" s="72" t="s">
        <v>1879</v>
      </c>
    </row>
    <row r="34" spans="1:7">
      <c r="A34" s="72" t="s">
        <v>1880</v>
      </c>
    </row>
    <row r="35" spans="1:7">
      <c r="A35" s="72" t="s">
        <v>1881</v>
      </c>
    </row>
    <row r="36" spans="1:7">
      <c r="A36" s="72" t="s">
        <v>1882</v>
      </c>
    </row>
    <row r="37" spans="1:7">
      <c r="A37" s="72" t="s">
        <v>1883</v>
      </c>
    </row>
    <row r="38" spans="1:7">
      <c r="A38" s="72" t="s">
        <v>1884</v>
      </c>
    </row>
    <row r="39" spans="1:7">
      <c r="A39" s="72" t="s">
        <v>1885</v>
      </c>
    </row>
    <row r="40" spans="1:7">
      <c r="A40" s="72" t="s">
        <v>1886</v>
      </c>
    </row>
    <row r="41" spans="1:7">
      <c r="A41" s="72" t="s">
        <v>1887</v>
      </c>
    </row>
    <row r="42" spans="1:7">
      <c r="A42" s="73" t="s">
        <v>1888</v>
      </c>
    </row>
    <row r="43" spans="1:7">
      <c r="A43" s="73" t="s">
        <v>1889</v>
      </c>
    </row>
    <row r="44" spans="1:7">
      <c r="A44" s="73" t="s">
        <v>1890</v>
      </c>
      <c r="G44" t="s">
        <v>1891</v>
      </c>
    </row>
    <row r="45" spans="1:7">
      <c r="A45" s="72" t="s">
        <v>1892</v>
      </c>
      <c r="G45" t="s">
        <v>1893</v>
      </c>
    </row>
    <row r="46" spans="1:7">
      <c r="A46" s="72" t="s">
        <v>1894</v>
      </c>
      <c r="G46" t="s">
        <v>1895</v>
      </c>
    </row>
    <row r="47" spans="1:7">
      <c r="A47" s="72" t="s">
        <v>1896</v>
      </c>
      <c r="G47" t="s">
        <v>1897</v>
      </c>
    </row>
    <row r="48" spans="1:7">
      <c r="A48" s="72" t="s">
        <v>1898</v>
      </c>
      <c r="G48" t="s">
        <v>1899</v>
      </c>
    </row>
    <row r="49" spans="1:11">
      <c r="A49" s="72" t="s">
        <v>1900</v>
      </c>
      <c r="G49" t="s">
        <v>1901</v>
      </c>
    </row>
    <row r="50" spans="1:11">
      <c r="A50" s="73" t="s">
        <v>1902</v>
      </c>
      <c r="G50" t="s">
        <v>1903</v>
      </c>
    </row>
    <row r="51" spans="1:11">
      <c r="A51" s="73" t="s">
        <v>1904</v>
      </c>
      <c r="G51" t="s">
        <v>1905</v>
      </c>
    </row>
    <row r="52" spans="1:11">
      <c r="A52" s="73" t="s">
        <v>1906</v>
      </c>
      <c r="G52" t="s">
        <v>1907</v>
      </c>
    </row>
    <row r="53" spans="1:11">
      <c r="A53" s="73" t="s">
        <v>1908</v>
      </c>
      <c r="G53" t="s">
        <v>1909</v>
      </c>
    </row>
    <row r="54" spans="1:11">
      <c r="A54" s="73" t="s">
        <v>1910</v>
      </c>
      <c r="G54" t="s">
        <v>1911</v>
      </c>
    </row>
    <row r="55" spans="1:11">
      <c r="A55" s="73" t="s">
        <v>1912</v>
      </c>
      <c r="G55" t="s">
        <v>1913</v>
      </c>
    </row>
    <row r="56" spans="1:11">
      <c r="A56" s="72" t="s">
        <v>1845</v>
      </c>
      <c r="G56" t="s">
        <v>1914</v>
      </c>
    </row>
    <row r="57" spans="1:11">
      <c r="A57" s="72" t="s">
        <v>1915</v>
      </c>
    </row>
    <row r="58" spans="1:11">
      <c r="A58" s="72" t="s">
        <v>1916</v>
      </c>
    </row>
    <row r="59" spans="1:11">
      <c r="A59" s="72" t="s">
        <v>1917</v>
      </c>
      <c r="K59" s="98"/>
    </row>
    <row r="60" spans="1:11">
      <c r="A60" s="72" t="s">
        <v>1918</v>
      </c>
      <c r="K60" s="98"/>
    </row>
    <row r="61" spans="1:11">
      <c r="A61" s="73" t="s">
        <v>1919</v>
      </c>
      <c r="K61" s="98"/>
    </row>
    <row r="62" spans="1:11">
      <c r="A62" s="73" t="s">
        <v>1920</v>
      </c>
      <c r="K62" s="98"/>
    </row>
    <row r="63" spans="1:11">
      <c r="A63" s="73" t="s">
        <v>1921</v>
      </c>
      <c r="K63" s="98"/>
    </row>
    <row r="64" spans="1:11">
      <c r="A64" s="72"/>
      <c r="K64" s="98"/>
    </row>
    <row r="65" spans="1:11">
      <c r="A65" s="72" t="s">
        <v>1922</v>
      </c>
      <c r="K65" s="98"/>
    </row>
    <row r="66" spans="1:11">
      <c r="A66" s="72" t="s">
        <v>1923</v>
      </c>
      <c r="K66" s="98"/>
    </row>
    <row r="67" spans="1:11">
      <c r="A67" s="72" t="s">
        <v>1924</v>
      </c>
      <c r="K67" s="98"/>
    </row>
    <row r="68" spans="1:11">
      <c r="A68" s="73" t="s">
        <v>1925</v>
      </c>
      <c r="K68" s="98"/>
    </row>
    <row r="69" spans="1:11">
      <c r="A69" s="73" t="s">
        <v>1926</v>
      </c>
      <c r="K69" s="98"/>
    </row>
    <row r="70" spans="1:11">
      <c r="A70" s="73" t="s">
        <v>1927</v>
      </c>
      <c r="K70" s="98"/>
    </row>
    <row r="71" spans="1:11">
      <c r="A71" s="72" t="s">
        <v>1928</v>
      </c>
      <c r="K71" s="98"/>
    </row>
    <row r="72" spans="1:11">
      <c r="A72" s="72" t="s">
        <v>1929</v>
      </c>
      <c r="K72" s="98"/>
    </row>
    <row r="73" spans="1:11">
      <c r="A73" s="72" t="s">
        <v>1930</v>
      </c>
      <c r="K73" s="98"/>
    </row>
    <row r="74" spans="1:11">
      <c r="A74" s="73" t="s">
        <v>1931</v>
      </c>
      <c r="K74" s="98"/>
    </row>
    <row r="75" spans="1:11">
      <c r="A75" t="s">
        <v>1932</v>
      </c>
    </row>
    <row r="76" spans="1:11">
      <c r="A76" s="72" t="s">
        <v>1845</v>
      </c>
    </row>
    <row r="77" spans="1:11">
      <c r="A77" s="72" t="s">
        <v>1933</v>
      </c>
    </row>
    <row r="79" spans="1:11">
      <c r="A79" s="72" t="s">
        <v>1916</v>
      </c>
    </row>
    <row r="80" spans="1:11">
      <c r="A80" s="72" t="s">
        <v>1917</v>
      </c>
    </row>
    <row r="81" spans="1:1">
      <c r="A81" s="72" t="s">
        <v>1934</v>
      </c>
    </row>
    <row r="82" spans="1:1">
      <c r="A82" s="73" t="s">
        <v>1919</v>
      </c>
    </row>
    <row r="83" spans="1:1">
      <c r="A83" s="73"/>
    </row>
    <row r="84" spans="1:1">
      <c r="A84" s="73"/>
    </row>
    <row r="85" spans="1:1">
      <c r="A85" s="72"/>
    </row>
    <row r="86" spans="1:1">
      <c r="A86" s="72" t="s">
        <v>1922</v>
      </c>
    </row>
    <row r="87" spans="1:1">
      <c r="A87" s="72" t="s">
        <v>1923</v>
      </c>
    </row>
    <row r="88" spans="1:1">
      <c r="A88" s="72" t="s">
        <v>1930</v>
      </c>
    </row>
    <row r="89" spans="1:1">
      <c r="A89" s="73" t="s">
        <v>1931</v>
      </c>
    </row>
    <row r="90" spans="1:1">
      <c r="A90" t="s">
        <v>1932</v>
      </c>
    </row>
    <row r="92" spans="1:1">
      <c r="A92" s="72" t="s">
        <v>1935</v>
      </c>
    </row>
    <row r="93" spans="1:1">
      <c r="A93" s="72" t="s">
        <v>1936</v>
      </c>
    </row>
    <row r="125" spans="5:5" ht="15.75">
      <c r="E125" s="71"/>
    </row>
    <row r="126" spans="5:5" ht="15.75">
      <c r="E126" s="71"/>
    </row>
    <row r="127" spans="5:5" ht="15.75">
      <c r="E127" s="71"/>
    </row>
    <row r="128" spans="5:5" ht="15.75">
      <c r="E128" s="71"/>
    </row>
    <row r="129" spans="5:5" ht="15.75">
      <c r="E129" s="71"/>
    </row>
    <row r="130" spans="5:5" ht="15.75">
      <c r="E130" s="71"/>
    </row>
    <row r="131" spans="5:5" ht="15.75">
      <c r="E131" s="71"/>
    </row>
    <row r="132" spans="5:5" ht="15.75">
      <c r="E132" s="71"/>
    </row>
    <row r="133" spans="5:5" ht="15.75">
      <c r="E133" s="71"/>
    </row>
    <row r="134" spans="5:5" ht="15.75">
      <c r="E134" s="71"/>
    </row>
    <row r="135" spans="5:5" ht="15.75">
      <c r="E135" s="71"/>
    </row>
  </sheetData>
  <mergeCells count="1">
    <mergeCell ref="K59:K74"/>
  </mergeCells>
  <hyperlinks>
    <hyperlink ref="A42" r:id="rId1" xr:uid="{92A8E11A-FD39-4BA5-88C8-F8ECBF59FB5E}"/>
    <hyperlink ref="A43" r:id="rId2" xr:uid="{89905E9A-DDD5-4AED-9DF6-50CD27AD3D75}"/>
    <hyperlink ref="A44" r:id="rId3" xr:uid="{1CD510C4-CD2B-45FD-96F2-F7A61A9C7C88}"/>
    <hyperlink ref="A50" r:id="rId4" xr:uid="{6BC24370-8695-49B1-A4FA-9ECEAAF09F87}"/>
    <hyperlink ref="A51" r:id="rId5" xr:uid="{5BC1B061-C7A2-419C-BCD8-6AF3086F8F05}"/>
    <hyperlink ref="A52" r:id="rId6" xr:uid="{95F9A314-FF03-410A-A1C1-4D68B09746F8}"/>
    <hyperlink ref="A53" r:id="rId7" xr:uid="{6F41B9EC-1941-44F6-B4EB-240865B5E62C}"/>
    <hyperlink ref="A54" r:id="rId8" xr:uid="{2D7B2E47-9489-4E30-B899-9CB0673452A4}"/>
    <hyperlink ref="A55" r:id="rId9" xr:uid="{52ABAA61-6465-4AB8-87A3-D516A113405F}"/>
    <hyperlink ref="A61" r:id="rId10" display="            WHEN b.Security = s.[Current Month BBG] AND b.Quantity = s.[Current Month Lot size] THEN 'Matched'" xr:uid="{A0BFBD14-1B33-4E92-B00D-948B85BACBA1}"/>
    <hyperlink ref="A62" r:id="rId11" display="            WHEN b.Security = s.[Next Month BBG]   AND b.Quantity = s.[Next Month Lot size]   THEN 'Matched'" xr:uid="{CFE70501-5421-4D7F-ABF4-FF74DC7AA7CD}"/>
    <hyperlink ref="A63" r:id="rId12" display="            WHEN b.Security = s.[Far Month BBG]    AND b.Quantity = s.[Far Month Lot size]    THEN 'Matched'" xr:uid="{ABE4355B-D4D2-4C28-B34D-64FB8800D4F2}"/>
    <hyperlink ref="A68" r:id="rId13" xr:uid="{BB33BABD-6B7B-4826-A8F3-88AF4B003CD2}"/>
    <hyperlink ref="A69" r:id="rId14" xr:uid="{40FDD280-B5BC-4654-9097-8542775C29D9}"/>
    <hyperlink ref="A70" r:id="rId15" xr:uid="{5D96B717-1384-4476-AB85-056DB151EB7A}"/>
    <hyperlink ref="A74" r:id="rId16" xr:uid="{D434EDB3-AFEB-40DD-A898-7890E2B4CEB9}"/>
    <hyperlink ref="A82" r:id="rId17" display="            WHEN b.Security = s.[Current Month BBG] AND b.Quantity = s.[Current Month Lot size] THEN 'Matched'" xr:uid="{757081C0-114A-4C5C-BADA-A9EF199A42D4}"/>
    <hyperlink ref="A89" r:id="rId18" xr:uid="{00C7DC08-5511-42A9-87E9-79851F75247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AE7D-5963-4905-B93D-9E05ADEEB0EA}">
  <dimension ref="A1:D11"/>
  <sheetViews>
    <sheetView workbookViewId="0"/>
  </sheetViews>
  <sheetFormatPr defaultRowHeight="15"/>
  <sheetData>
    <row r="1" spans="1:4">
      <c r="A1" s="80"/>
      <c r="B1" s="80" t="s">
        <v>1937</v>
      </c>
      <c r="C1" s="80"/>
      <c r="D1" s="80" t="s">
        <v>1938</v>
      </c>
    </row>
    <row r="2" spans="1:4">
      <c r="A2" s="79" t="s">
        <v>1939</v>
      </c>
      <c r="B2" s="79" t="s">
        <v>1940</v>
      </c>
      <c r="C2" s="79"/>
      <c r="D2" s="79">
        <v>1010800</v>
      </c>
    </row>
    <row r="3" spans="1:4">
      <c r="A3" s="79" t="s">
        <v>1939</v>
      </c>
      <c r="B3" s="79" t="s">
        <v>1941</v>
      </c>
      <c r="C3" s="79"/>
      <c r="D3" s="79">
        <v>28700</v>
      </c>
    </row>
    <row r="4" spans="1:4">
      <c r="A4" s="79" t="s">
        <v>1939</v>
      </c>
      <c r="B4" s="79" t="s">
        <v>1942</v>
      </c>
      <c r="C4" s="79"/>
      <c r="D4" s="79">
        <v>443000</v>
      </c>
    </row>
    <row r="5" spans="1:4">
      <c r="A5" s="79" t="s">
        <v>1939</v>
      </c>
      <c r="B5" s="79" t="s">
        <v>1943</v>
      </c>
      <c r="C5" s="79"/>
      <c r="D5" s="79">
        <v>315000</v>
      </c>
    </row>
    <row r="6" spans="1:4">
      <c r="A6" s="79" t="s">
        <v>1939</v>
      </c>
      <c r="B6" s="79" t="s">
        <v>1944</v>
      </c>
      <c r="C6" s="79"/>
      <c r="D6" s="79">
        <v>450000</v>
      </c>
    </row>
    <row r="7" spans="1:4">
      <c r="A7" s="79" t="s">
        <v>1939</v>
      </c>
      <c r="B7" s="79" t="s">
        <v>1945</v>
      </c>
      <c r="C7" s="79"/>
      <c r="D7" s="79">
        <v>94800</v>
      </c>
    </row>
    <row r="8" spans="1:4">
      <c r="A8" s="79" t="s">
        <v>1939</v>
      </c>
      <c r="B8" s="79" t="s">
        <v>1946</v>
      </c>
      <c r="C8" s="79"/>
      <c r="D8" s="79">
        <v>374000</v>
      </c>
    </row>
    <row r="9" spans="1:4">
      <c r="A9" s="79" t="s">
        <v>1939</v>
      </c>
      <c r="B9" s="79" t="s">
        <v>1947</v>
      </c>
      <c r="C9" s="79"/>
      <c r="D9" s="79">
        <v>1513500</v>
      </c>
    </row>
    <row r="10" spans="1:4">
      <c r="A10" s="79" t="s">
        <v>1939</v>
      </c>
      <c r="B10" s="79" t="s">
        <v>1948</v>
      </c>
      <c r="C10" s="79"/>
      <c r="D10" s="79">
        <v>201425</v>
      </c>
    </row>
    <row r="11" spans="1:4">
      <c r="A11" s="79" t="s">
        <v>1939</v>
      </c>
      <c r="B11" s="79" t="s">
        <v>1949</v>
      </c>
      <c r="C11" s="79"/>
      <c r="D11" s="79">
        <v>209700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B301-14AA-412F-8083-A28CD8EEE73E}">
  <dimension ref="A1:B13"/>
  <sheetViews>
    <sheetView workbookViewId="0">
      <selection activeCell="E12" sqref="E12"/>
    </sheetView>
  </sheetViews>
  <sheetFormatPr defaultRowHeight="15"/>
  <cols>
    <col min="1" max="1" width="19.28515625" bestFit="1" customWidth="1"/>
  </cols>
  <sheetData>
    <row r="1" spans="1:2">
      <c r="A1" s="79" t="s">
        <v>1950</v>
      </c>
      <c r="B1" s="79" t="s">
        <v>1950</v>
      </c>
    </row>
    <row r="2" spans="1:2">
      <c r="A2" s="79" t="s">
        <v>1951</v>
      </c>
      <c r="B2" s="79">
        <v>20562.5</v>
      </c>
    </row>
    <row r="3" spans="1:2">
      <c r="A3" s="79" t="s">
        <v>1952</v>
      </c>
      <c r="B3" s="79">
        <v>407700</v>
      </c>
    </row>
    <row r="4" spans="1:2">
      <c r="A4" s="79" t="s">
        <v>1953</v>
      </c>
      <c r="B4" s="79">
        <v>282100</v>
      </c>
    </row>
    <row r="5" spans="1:2">
      <c r="A5" s="79" t="s">
        <v>1954</v>
      </c>
      <c r="B5" s="79">
        <v>10800</v>
      </c>
    </row>
    <row r="6" spans="1:2">
      <c r="A6" s="79" t="s">
        <v>1955</v>
      </c>
      <c r="B6" s="79">
        <v>90000</v>
      </c>
    </row>
    <row r="7" spans="1:2">
      <c r="A7" s="79" t="s">
        <v>1956</v>
      </c>
      <c r="B7" s="79">
        <v>8125</v>
      </c>
    </row>
    <row r="8" spans="1:2">
      <c r="A8" s="79" t="s">
        <v>1957</v>
      </c>
      <c r="B8" s="79">
        <v>9000</v>
      </c>
    </row>
    <row r="9" spans="1:2">
      <c r="A9" s="79" t="s">
        <v>1958</v>
      </c>
      <c r="B9" s="79">
        <v>16550</v>
      </c>
    </row>
    <row r="10" spans="1:2">
      <c r="A10" s="79" t="s">
        <v>1959</v>
      </c>
      <c r="B10" s="79">
        <v>28800</v>
      </c>
    </row>
    <row r="11" spans="1:2">
      <c r="A11" s="79" t="s">
        <v>1656</v>
      </c>
      <c r="B11" s="79">
        <v>16887.5</v>
      </c>
    </row>
    <row r="12" spans="1:2">
      <c r="A12" s="79" t="s">
        <v>1960</v>
      </c>
      <c r="B12" s="79">
        <v>3500</v>
      </c>
    </row>
    <row r="13" spans="1:2">
      <c r="A13" s="79" t="s">
        <v>1961</v>
      </c>
      <c r="B13" s="79">
        <v>1700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27F3-2E33-4220-86B7-0EDA2A6452A4}">
  <dimension ref="A1:E51"/>
  <sheetViews>
    <sheetView topLeftCell="A35" workbookViewId="0">
      <selection activeCell="D35" sqref="D35"/>
    </sheetView>
  </sheetViews>
  <sheetFormatPr defaultRowHeight="15"/>
  <cols>
    <col min="1" max="1" width="11" customWidth="1"/>
    <col min="2" max="2" width="28.28515625" customWidth="1"/>
    <col min="3" max="3" width="21.28515625" customWidth="1"/>
    <col min="4" max="4" width="80.28515625" customWidth="1"/>
  </cols>
  <sheetData>
    <row r="1" spans="1:4">
      <c r="A1" s="1" t="s">
        <v>1962</v>
      </c>
    </row>
    <row r="2" spans="1:4">
      <c r="B2" s="1" t="s">
        <v>1963</v>
      </c>
    </row>
    <row r="3" spans="1:4">
      <c r="C3" s="1" t="s">
        <v>1964</v>
      </c>
    </row>
    <row r="4" spans="1:4">
      <c r="D4" t="s">
        <v>1965</v>
      </c>
    </row>
    <row r="5" spans="1:4">
      <c r="D5" t="s">
        <v>1966</v>
      </c>
    </row>
    <row r="7" spans="1:4">
      <c r="C7" s="1" t="s">
        <v>1967</v>
      </c>
    </row>
    <row r="8" spans="1:4">
      <c r="D8" t="s">
        <v>1968</v>
      </c>
    </row>
    <row r="9" spans="1:4">
      <c r="D9" t="s">
        <v>1969</v>
      </c>
    </row>
    <row r="11" spans="1:4">
      <c r="A11" s="1" t="s">
        <v>1970</v>
      </c>
    </row>
    <row r="12" spans="1:4">
      <c r="B12" s="1" t="s">
        <v>1971</v>
      </c>
    </row>
    <row r="13" spans="1:4">
      <c r="C13" s="1" t="s">
        <v>1964</v>
      </c>
    </row>
    <row r="14" spans="1:4">
      <c r="D14" t="s">
        <v>1972</v>
      </c>
    </row>
    <row r="16" spans="1:4">
      <c r="C16" s="1" t="s">
        <v>1967</v>
      </c>
    </row>
    <row r="17" spans="1:5">
      <c r="D17" t="s">
        <v>1973</v>
      </c>
    </row>
    <row r="20" spans="1:5">
      <c r="A20" s="1" t="s">
        <v>1974</v>
      </c>
    </row>
    <row r="21" spans="1:5">
      <c r="B21" s="1" t="s">
        <v>1975</v>
      </c>
    </row>
    <row r="22" spans="1:5">
      <c r="C22" t="s">
        <v>1976</v>
      </c>
    </row>
    <row r="24" spans="1:5">
      <c r="A24" s="1" t="s">
        <v>1977</v>
      </c>
    </row>
    <row r="25" spans="1:5">
      <c r="B25" s="1" t="s">
        <v>1978</v>
      </c>
    </row>
    <row r="26" spans="1:5">
      <c r="C26" t="s">
        <v>1979</v>
      </c>
    </row>
    <row r="27" spans="1:5">
      <c r="E27" t="s">
        <v>1980</v>
      </c>
    </row>
    <row r="29" spans="1:5">
      <c r="A29" s="1" t="s">
        <v>1981</v>
      </c>
    </row>
    <row r="30" spans="1:5">
      <c r="B30" s="1" t="s">
        <v>1982</v>
      </c>
    </row>
    <row r="31" spans="1:5">
      <c r="C31" t="s">
        <v>1983</v>
      </c>
    </row>
    <row r="32" spans="1:5">
      <c r="C32" t="s">
        <v>1984</v>
      </c>
    </row>
    <row r="33" spans="1:3">
      <c r="C33" t="s">
        <v>1985</v>
      </c>
    </row>
    <row r="34" spans="1:3">
      <c r="C34" t="s">
        <v>1986</v>
      </c>
    </row>
    <row r="36" spans="1:3">
      <c r="A36" s="1" t="s">
        <v>1987</v>
      </c>
    </row>
    <row r="37" spans="1:3">
      <c r="B37" s="1" t="s">
        <v>1988</v>
      </c>
    </row>
    <row r="38" spans="1:3">
      <c r="C38" t="s">
        <v>1989</v>
      </c>
    </row>
    <row r="40" spans="1:3">
      <c r="A40" s="1" t="s">
        <v>1990</v>
      </c>
    </row>
    <row r="41" spans="1:3">
      <c r="B41" s="1" t="s">
        <v>1741</v>
      </c>
    </row>
    <row r="42" spans="1:3">
      <c r="C42" t="s">
        <v>1991</v>
      </c>
    </row>
    <row r="44" spans="1:3">
      <c r="A44" s="1" t="s">
        <v>1992</v>
      </c>
    </row>
    <row r="45" spans="1:3">
      <c r="B45" s="1" t="s">
        <v>1993</v>
      </c>
    </row>
    <row r="46" spans="1:3">
      <c r="C46" t="s">
        <v>1994</v>
      </c>
    </row>
    <row r="48" spans="1:3">
      <c r="A48" s="1" t="s">
        <v>1995</v>
      </c>
    </row>
    <row r="49" spans="2:4">
      <c r="B49" s="1" t="s">
        <v>1996</v>
      </c>
    </row>
    <row r="50" spans="2:4">
      <c r="C50" t="s">
        <v>1997</v>
      </c>
    </row>
    <row r="51" spans="2:4">
      <c r="D51" t="s">
        <v>1998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ABBE-1FED-44A3-B04A-F6376895CFFD}">
  <dimension ref="A1:Z22"/>
  <sheetViews>
    <sheetView topLeftCell="A7" workbookViewId="0">
      <selection activeCell="I20" sqref="I20"/>
    </sheetView>
  </sheetViews>
  <sheetFormatPr defaultRowHeight="15"/>
  <cols>
    <col min="1" max="1" width="19.85546875" bestFit="1" customWidth="1"/>
    <col min="2" max="2" width="23.42578125" customWidth="1"/>
    <col min="3" max="3" width="14" customWidth="1"/>
    <col min="4" max="4" width="23.7109375" bestFit="1" customWidth="1"/>
    <col min="5" max="5" width="21.140625" customWidth="1"/>
    <col min="6" max="6" width="14.140625" customWidth="1"/>
    <col min="7" max="7" width="10.85546875" customWidth="1"/>
    <col min="8" max="8" width="17.5703125" customWidth="1"/>
    <col min="9" max="9" width="20.28515625" bestFit="1" customWidth="1"/>
    <col min="10" max="10" width="15.140625" bestFit="1" customWidth="1"/>
    <col min="11" max="11" width="28.7109375" bestFit="1" customWidth="1"/>
    <col min="12" max="12" width="10.7109375" bestFit="1" customWidth="1"/>
    <col min="13" max="13" width="14.85546875" bestFit="1" customWidth="1"/>
    <col min="14" max="14" width="24.28515625" bestFit="1" customWidth="1"/>
    <col min="15" max="15" width="12.5703125" bestFit="1" customWidth="1"/>
    <col min="16" max="16" width="7.7109375" bestFit="1" customWidth="1"/>
    <col min="17" max="17" width="16" bestFit="1" customWidth="1"/>
    <col min="18" max="18" width="9.7109375" bestFit="1" customWidth="1"/>
    <col min="19" max="19" width="10.85546875" bestFit="1" customWidth="1"/>
    <col min="20" max="20" width="14.140625" bestFit="1" customWidth="1"/>
    <col min="21" max="21" width="9" bestFit="1" customWidth="1"/>
    <col min="22" max="22" width="22.140625" bestFit="1" customWidth="1"/>
    <col min="23" max="23" width="21" bestFit="1" customWidth="1"/>
    <col min="24" max="24" width="6" bestFit="1" customWidth="1"/>
    <col min="25" max="25" width="18.5703125" bestFit="1" customWidth="1"/>
    <col min="26" max="26" width="9" bestFit="1" customWidth="1"/>
  </cols>
  <sheetData>
    <row r="1" spans="1:26">
      <c r="A1" t="s">
        <v>1999</v>
      </c>
    </row>
    <row r="2" spans="1:26">
      <c r="A2" s="84" t="s">
        <v>2000</v>
      </c>
      <c r="B2" s="84" t="s">
        <v>2001</v>
      </c>
      <c r="C2" s="84" t="s">
        <v>2002</v>
      </c>
      <c r="D2" s="84" t="s">
        <v>2003</v>
      </c>
      <c r="E2" s="84" t="s">
        <v>2004</v>
      </c>
      <c r="F2" s="84" t="s">
        <v>2005</v>
      </c>
      <c r="G2" s="84" t="s">
        <v>1608</v>
      </c>
      <c r="H2" s="84" t="s">
        <v>2006</v>
      </c>
      <c r="I2" s="84" t="s">
        <v>2007</v>
      </c>
      <c r="J2" s="84" t="s">
        <v>2008</v>
      </c>
      <c r="K2" s="84" t="s">
        <v>2009</v>
      </c>
      <c r="L2" s="84" t="s">
        <v>2010</v>
      </c>
      <c r="M2" s="84" t="s">
        <v>2011</v>
      </c>
      <c r="N2" s="84" t="s">
        <v>2012</v>
      </c>
      <c r="O2" s="84" t="s">
        <v>2013</v>
      </c>
      <c r="P2" s="84" t="s">
        <v>2014</v>
      </c>
      <c r="Q2" s="84" t="s">
        <v>2015</v>
      </c>
      <c r="R2" s="84" t="s">
        <v>2016</v>
      </c>
      <c r="S2" s="84" t="s">
        <v>2017</v>
      </c>
      <c r="T2" s="84" t="s">
        <v>2018</v>
      </c>
      <c r="U2" s="84" t="s">
        <v>2019</v>
      </c>
      <c r="V2" s="84" t="s">
        <v>2020</v>
      </c>
      <c r="W2" s="84" t="s">
        <v>2021</v>
      </c>
      <c r="X2" s="84" t="s">
        <v>2022</v>
      </c>
      <c r="Y2" s="84" t="s">
        <v>2023</v>
      </c>
      <c r="Z2" s="84" t="s">
        <v>2024</v>
      </c>
    </row>
    <row r="3" spans="1:26">
      <c r="A3" t="s">
        <v>2025</v>
      </c>
      <c r="B3" t="s">
        <v>2026</v>
      </c>
      <c r="C3">
        <v>2746600</v>
      </c>
      <c r="D3">
        <v>2731100</v>
      </c>
      <c r="E3">
        <v>0</v>
      </c>
      <c r="F3" t="s">
        <v>2027</v>
      </c>
      <c r="G3">
        <v>348.05</v>
      </c>
      <c r="H3">
        <v>348.05</v>
      </c>
      <c r="I3">
        <v>0</v>
      </c>
      <c r="J3">
        <v>263.45890493266074</v>
      </c>
      <c r="K3" t="s">
        <v>25</v>
      </c>
      <c r="L3" t="s">
        <v>2028</v>
      </c>
      <c r="M3">
        <v>0.91383769041019192</v>
      </c>
      <c r="N3" t="s">
        <v>2029</v>
      </c>
      <c r="O3">
        <v>724484567.73803627</v>
      </c>
      <c r="P3">
        <v>0</v>
      </c>
      <c r="Q3">
        <v>0</v>
      </c>
      <c r="R3">
        <v>0</v>
      </c>
      <c r="S3">
        <v>955954130</v>
      </c>
      <c r="T3" t="s">
        <v>2030</v>
      </c>
      <c r="U3">
        <v>0</v>
      </c>
      <c r="V3" t="s">
        <v>2031</v>
      </c>
      <c r="W3" t="s">
        <v>2032</v>
      </c>
      <c r="X3" t="s">
        <v>2033</v>
      </c>
      <c r="Y3">
        <v>0.91383769041019181</v>
      </c>
      <c r="Z3">
        <v>0</v>
      </c>
    </row>
    <row r="4" spans="1:26">
      <c r="A4" t="s">
        <v>2034</v>
      </c>
      <c r="B4" t="s">
        <v>2035</v>
      </c>
      <c r="C4">
        <v>454650</v>
      </c>
      <c r="D4">
        <v>454650</v>
      </c>
      <c r="E4">
        <v>0</v>
      </c>
      <c r="F4" t="s">
        <v>2036</v>
      </c>
      <c r="G4">
        <v>548.70000000000005</v>
      </c>
      <c r="H4">
        <v>548.70000000000005</v>
      </c>
      <c r="I4">
        <v>0</v>
      </c>
      <c r="J4">
        <v>559.79899520343156</v>
      </c>
      <c r="K4" t="s">
        <v>33</v>
      </c>
      <c r="L4" t="s">
        <v>2028</v>
      </c>
      <c r="M4">
        <v>0.23847571961639843</v>
      </c>
      <c r="N4" t="s">
        <v>2037</v>
      </c>
      <c r="O4">
        <v>254818028.32246202</v>
      </c>
      <c r="P4">
        <v>0</v>
      </c>
      <c r="Q4">
        <v>0</v>
      </c>
      <c r="R4">
        <v>0</v>
      </c>
      <c r="S4">
        <v>249466455.00000003</v>
      </c>
      <c r="T4" t="s">
        <v>2038</v>
      </c>
      <c r="U4">
        <v>0</v>
      </c>
      <c r="V4" t="s">
        <v>2039</v>
      </c>
      <c r="W4" t="s">
        <v>2032</v>
      </c>
      <c r="X4" t="s">
        <v>2033</v>
      </c>
      <c r="Y4">
        <v>0.23847571961639843</v>
      </c>
      <c r="Z4">
        <v>0</v>
      </c>
    </row>
    <row r="5" spans="1:26">
      <c r="A5" t="s">
        <v>2040</v>
      </c>
      <c r="B5" t="s">
        <v>2041</v>
      </c>
      <c r="C5">
        <v>4725</v>
      </c>
      <c r="D5">
        <v>4725</v>
      </c>
      <c r="E5">
        <v>0</v>
      </c>
      <c r="F5" t="s">
        <v>2042</v>
      </c>
      <c r="G5">
        <v>994.3</v>
      </c>
      <c r="H5">
        <v>994.3</v>
      </c>
      <c r="I5">
        <v>0</v>
      </c>
      <c r="J5">
        <v>858.17300740740745</v>
      </c>
      <c r="K5" t="s">
        <v>42</v>
      </c>
      <c r="L5" t="s">
        <v>2028</v>
      </c>
      <c r="M5">
        <v>4.491084895036945E-3</v>
      </c>
      <c r="N5" t="s">
        <v>2043</v>
      </c>
      <c r="O5">
        <v>4059733.3025454544</v>
      </c>
      <c r="P5">
        <v>0</v>
      </c>
      <c r="Q5">
        <v>0</v>
      </c>
      <c r="R5">
        <v>0</v>
      </c>
      <c r="S5">
        <v>4698067.5</v>
      </c>
      <c r="T5" t="s">
        <v>2044</v>
      </c>
      <c r="U5">
        <v>0</v>
      </c>
      <c r="W5" t="s">
        <v>2032</v>
      </c>
      <c r="X5" t="s">
        <v>2033</v>
      </c>
      <c r="Y5">
        <v>4.491084895036945E-3</v>
      </c>
      <c r="Z5">
        <v>0</v>
      </c>
    </row>
    <row r="6" spans="1:26">
      <c r="A6" t="s">
        <v>2045</v>
      </c>
      <c r="B6" t="s">
        <v>2039</v>
      </c>
      <c r="C6">
        <v>71070</v>
      </c>
      <c r="D6">
        <v>31070</v>
      </c>
      <c r="E6">
        <v>0</v>
      </c>
      <c r="F6" t="s">
        <v>2046</v>
      </c>
      <c r="G6">
        <v>2247.9</v>
      </c>
      <c r="H6">
        <v>2247.9</v>
      </c>
      <c r="I6">
        <v>0</v>
      </c>
      <c r="J6">
        <v>2143.6899437279981</v>
      </c>
      <c r="K6" t="s">
        <v>58</v>
      </c>
      <c r="L6" t="s">
        <v>2028</v>
      </c>
      <c r="M6">
        <v>0.15271978891443996</v>
      </c>
      <c r="N6" t="s">
        <v>2047</v>
      </c>
      <c r="O6">
        <v>152534866.7393401</v>
      </c>
      <c r="P6">
        <v>0</v>
      </c>
      <c r="Q6">
        <v>0</v>
      </c>
      <c r="R6">
        <v>0</v>
      </c>
      <c r="S6">
        <v>159758253</v>
      </c>
      <c r="T6" t="s">
        <v>2048</v>
      </c>
      <c r="U6">
        <v>0</v>
      </c>
      <c r="W6" t="s">
        <v>2032</v>
      </c>
      <c r="X6" t="s">
        <v>2033</v>
      </c>
      <c r="Y6">
        <v>0.15271978891443996</v>
      </c>
      <c r="Z6">
        <v>0</v>
      </c>
    </row>
    <row r="7" spans="1:26">
      <c r="A7" t="s">
        <v>2049</v>
      </c>
      <c r="B7" t="s">
        <v>2050</v>
      </c>
      <c r="C7">
        <v>19950</v>
      </c>
      <c r="D7">
        <v>19950</v>
      </c>
      <c r="E7">
        <v>0</v>
      </c>
      <c r="F7" t="s">
        <v>2051</v>
      </c>
      <c r="G7">
        <v>1499</v>
      </c>
      <c r="H7">
        <v>1499</v>
      </c>
      <c r="I7">
        <v>0</v>
      </c>
      <c r="J7">
        <v>1304.2774727534782</v>
      </c>
      <c r="K7" t="s">
        <v>66</v>
      </c>
      <c r="L7" t="s">
        <v>2028</v>
      </c>
      <c r="M7">
        <v>2.8587524198050496E-2</v>
      </c>
      <c r="N7" t="s">
        <v>2052</v>
      </c>
      <c r="O7">
        <v>26048952.263970334</v>
      </c>
      <c r="P7">
        <v>0</v>
      </c>
      <c r="Q7">
        <v>0</v>
      </c>
      <c r="R7">
        <v>0</v>
      </c>
      <c r="S7">
        <v>29905050</v>
      </c>
      <c r="T7" t="s">
        <v>2053</v>
      </c>
      <c r="U7">
        <v>0</v>
      </c>
      <c r="W7" t="s">
        <v>2032</v>
      </c>
      <c r="X7" t="s">
        <v>2033</v>
      </c>
      <c r="Y7">
        <v>2.8587524198050496E-2</v>
      </c>
      <c r="Z7">
        <v>0</v>
      </c>
    </row>
    <row r="9" spans="1:26">
      <c r="A9" t="s">
        <v>2054</v>
      </c>
    </row>
    <row r="10" spans="1:26">
      <c r="A10" s="84" t="s">
        <v>2000</v>
      </c>
      <c r="B10" s="84" t="s">
        <v>2055</v>
      </c>
      <c r="C10" s="84" t="s">
        <v>2021</v>
      </c>
      <c r="D10" s="84" t="s">
        <v>1752</v>
      </c>
      <c r="E10" s="84" t="s">
        <v>2009</v>
      </c>
      <c r="F10" s="84" t="s">
        <v>2002</v>
      </c>
      <c r="G10" s="84" t="s">
        <v>2004</v>
      </c>
      <c r="H10" s="84" t="s">
        <v>2056</v>
      </c>
      <c r="I10" s="84" t="s">
        <v>1608</v>
      </c>
      <c r="J10" s="84" t="s">
        <v>2057</v>
      </c>
      <c r="K10" s="84" t="s">
        <v>2001</v>
      </c>
      <c r="L10" s="84" t="s">
        <v>2024</v>
      </c>
    </row>
    <row r="11" spans="1:26">
      <c r="A11" t="s">
        <v>2058</v>
      </c>
      <c r="B11" t="s">
        <v>1619</v>
      </c>
      <c r="C11" t="s">
        <v>2032</v>
      </c>
      <c r="D11" t="s">
        <v>2059</v>
      </c>
      <c r="E11" t="s">
        <v>2060</v>
      </c>
      <c r="F11">
        <v>-11</v>
      </c>
      <c r="G11">
        <v>34100</v>
      </c>
      <c r="H11">
        <v>-11957164.999999998</v>
      </c>
      <c r="I11">
        <v>350.65</v>
      </c>
      <c r="J11" t="s">
        <v>2061</v>
      </c>
      <c r="K11" t="s">
        <v>2026</v>
      </c>
      <c r="L11">
        <v>0</v>
      </c>
    </row>
    <row r="12" spans="1:26">
      <c r="A12" t="s">
        <v>2062</v>
      </c>
      <c r="B12" t="s">
        <v>1619</v>
      </c>
      <c r="C12" t="s">
        <v>2032</v>
      </c>
      <c r="D12" t="s">
        <v>2063</v>
      </c>
      <c r="E12" t="s">
        <v>2064</v>
      </c>
      <c r="F12">
        <v>-97</v>
      </c>
      <c r="G12">
        <v>101850</v>
      </c>
      <c r="H12">
        <v>-56353605</v>
      </c>
      <c r="I12">
        <v>553.29999999999995</v>
      </c>
      <c r="J12" t="s">
        <v>2061</v>
      </c>
      <c r="K12" t="s">
        <v>2035</v>
      </c>
      <c r="L12">
        <v>0</v>
      </c>
    </row>
    <row r="13" spans="1:26">
      <c r="A13" t="s">
        <v>2065</v>
      </c>
      <c r="B13" t="s">
        <v>1619</v>
      </c>
      <c r="C13" t="s">
        <v>2032</v>
      </c>
      <c r="D13" t="s">
        <v>2066</v>
      </c>
      <c r="E13" t="s">
        <v>2067</v>
      </c>
      <c r="F13">
        <v>-15</v>
      </c>
      <c r="G13">
        <v>7125</v>
      </c>
      <c r="H13">
        <v>-10773712.5</v>
      </c>
      <c r="I13">
        <v>1512.1</v>
      </c>
      <c r="J13" t="s">
        <v>2061</v>
      </c>
      <c r="K13" t="s">
        <v>2050</v>
      </c>
      <c r="L13">
        <v>0</v>
      </c>
    </row>
    <row r="14" spans="1:26">
      <c r="A14" t="s">
        <v>2068</v>
      </c>
      <c r="B14" t="s">
        <v>1619</v>
      </c>
      <c r="C14" t="s">
        <v>2032</v>
      </c>
      <c r="D14" t="s">
        <v>2069</v>
      </c>
      <c r="E14" t="s">
        <v>2070</v>
      </c>
      <c r="F14">
        <v>-15</v>
      </c>
      <c r="G14">
        <v>5250</v>
      </c>
      <c r="H14">
        <v>-9171750</v>
      </c>
      <c r="I14">
        <v>1747</v>
      </c>
      <c r="J14" t="s">
        <v>2061</v>
      </c>
      <c r="K14" t="s">
        <v>2071</v>
      </c>
      <c r="L14">
        <v>0</v>
      </c>
    </row>
    <row r="15" spans="1:26">
      <c r="A15" t="s">
        <v>2072</v>
      </c>
      <c r="B15" t="s">
        <v>1619</v>
      </c>
      <c r="C15" t="s">
        <v>2032</v>
      </c>
      <c r="D15" t="s">
        <v>2073</v>
      </c>
      <c r="E15" t="s">
        <v>2074</v>
      </c>
      <c r="F15">
        <v>-16</v>
      </c>
      <c r="G15">
        <v>2000</v>
      </c>
      <c r="H15">
        <v>-14219000</v>
      </c>
      <c r="I15">
        <v>7109.5</v>
      </c>
      <c r="J15" t="s">
        <v>2061</v>
      </c>
      <c r="K15" t="s">
        <v>2075</v>
      </c>
      <c r="L15">
        <v>0</v>
      </c>
    </row>
    <row r="19" spans="1:9">
      <c r="A19" t="s">
        <v>2076</v>
      </c>
    </row>
    <row r="20" spans="1:9">
      <c r="A20" s="84" t="s">
        <v>2077</v>
      </c>
      <c r="B20" s="84" t="s">
        <v>2078</v>
      </c>
      <c r="C20" s="84" t="s">
        <v>2055</v>
      </c>
      <c r="D20" s="84" t="s">
        <v>2021</v>
      </c>
      <c r="E20" s="84" t="s">
        <v>2001</v>
      </c>
      <c r="F20" s="84" t="s">
        <v>2079</v>
      </c>
      <c r="G20" s="84" t="s">
        <v>2003</v>
      </c>
      <c r="H20" s="84" t="s">
        <v>2080</v>
      </c>
      <c r="I20" s="84" t="s">
        <v>2081</v>
      </c>
    </row>
    <row r="21" spans="1:9">
      <c r="A21" t="s">
        <v>2025</v>
      </c>
      <c r="B21" t="s">
        <v>2058</v>
      </c>
      <c r="C21" t="s">
        <v>1619</v>
      </c>
      <c r="D21" t="s">
        <v>2032</v>
      </c>
      <c r="E21" t="s">
        <v>2026</v>
      </c>
      <c r="F21">
        <v>2746600</v>
      </c>
      <c r="G21">
        <v>2731100</v>
      </c>
      <c r="H21">
        <v>-11</v>
      </c>
      <c r="I21" t="s">
        <v>2082</v>
      </c>
    </row>
    <row r="22" spans="1:9">
      <c r="A22" t="s">
        <v>2034</v>
      </c>
      <c r="B22" t="s">
        <v>2062</v>
      </c>
      <c r="C22" t="s">
        <v>1619</v>
      </c>
      <c r="D22" t="s">
        <v>2032</v>
      </c>
      <c r="E22" t="s">
        <v>2035</v>
      </c>
      <c r="F22">
        <v>454650</v>
      </c>
      <c r="G22">
        <v>454650</v>
      </c>
      <c r="H22">
        <v>-97</v>
      </c>
      <c r="I22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Kulthia</dc:creator>
  <cp:keywords/>
  <dc:description/>
  <cp:lastModifiedBy/>
  <cp:revision/>
  <dcterms:created xsi:type="dcterms:W3CDTF">2025-09-01T09:20:44Z</dcterms:created>
  <dcterms:modified xsi:type="dcterms:W3CDTF">2025-12-22T09:03:21Z</dcterms:modified>
  <cp:category/>
  <cp:contentStatus/>
</cp:coreProperties>
</file>